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niversity\hayashibalab\adrobo\Report\"/>
    </mc:Choice>
  </mc:AlternateContent>
  <xr:revisionPtr revIDLastSave="0" documentId="13_ncr:1_{F3163FB6-3C4A-4A4B-8BB2-9719459FFF14}" xr6:coauthVersionLast="47" xr6:coauthVersionMax="47" xr10:uidLastSave="{00000000-0000-0000-0000-000000000000}"/>
  <bookViews>
    <workbookView xWindow="-16320" yWindow="-7245" windowWidth="16440" windowHeight="29040" activeTab="2" xr2:uid="{5ECD22BA-8AE2-4058-9D24-A51639B40FA2}"/>
  </bookViews>
  <sheets>
    <sheet name="RobotMotion" sheetId="8" r:id="rId1"/>
    <sheet name="機体情報" sheetId="9" r:id="rId2"/>
    <sheet name="上から見たプリン" sheetId="10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10" l="1"/>
  <c r="C4" i="10" s="1"/>
  <c r="E5" i="10" s="1"/>
  <c r="C102" i="10"/>
  <c r="C103" i="10" s="1"/>
  <c r="C104" i="10" s="1"/>
  <c r="D24" i="10"/>
  <c r="D25" i="10"/>
  <c r="D23" i="10"/>
  <c r="B102" i="10"/>
  <c r="B103" i="10" s="1"/>
  <c r="B104" i="10" s="1"/>
  <c r="B105" i="10" s="1"/>
  <c r="B8" i="10"/>
  <c r="B7" i="10"/>
  <c r="B6" i="10"/>
  <c r="C6" i="10"/>
  <c r="C7" i="10" s="1"/>
  <c r="C8" i="10" s="1"/>
  <c r="C9" i="10" s="1"/>
  <c r="G5" i="10"/>
  <c r="F5" i="10"/>
  <c r="A3" i="10"/>
  <c r="A4" i="10" s="1"/>
  <c r="K2" i="10"/>
  <c r="J2" i="10"/>
  <c r="B26" i="8"/>
  <c r="D26" i="8" s="1"/>
  <c r="B3" i="8"/>
  <c r="B113" i="8"/>
  <c r="D115" i="8"/>
  <c r="D23" i="8"/>
  <c r="C3" i="8"/>
  <c r="E4" i="8" s="1"/>
  <c r="C15" i="9"/>
  <c r="E15" i="9"/>
  <c r="G11" i="9"/>
  <c r="F11" i="9"/>
  <c r="G9" i="9"/>
  <c r="F9" i="9"/>
  <c r="D5" i="9"/>
  <c r="E5" i="9" s="1"/>
  <c r="G5" i="9" s="1"/>
  <c r="C5" i="9"/>
  <c r="F5" i="9" s="1"/>
  <c r="F7" i="9" s="1"/>
  <c r="A7" i="9"/>
  <c r="A3" i="9"/>
  <c r="E5" i="8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G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E217" i="8"/>
  <c r="E218" i="8"/>
  <c r="E219" i="8"/>
  <c r="E220" i="8"/>
  <c r="E221" i="8"/>
  <c r="E222" i="8"/>
  <c r="E223" i="8"/>
  <c r="E224" i="8"/>
  <c r="E225" i="8"/>
  <c r="E226" i="8"/>
  <c r="E227" i="8"/>
  <c r="E228" i="8"/>
  <c r="E229" i="8"/>
  <c r="E230" i="8"/>
  <c r="E231" i="8"/>
  <c r="E232" i="8"/>
  <c r="E233" i="8"/>
  <c r="E234" i="8"/>
  <c r="E235" i="8"/>
  <c r="E236" i="8"/>
  <c r="E237" i="8"/>
  <c r="E238" i="8"/>
  <c r="E239" i="8"/>
  <c r="E240" i="8"/>
  <c r="E241" i="8"/>
  <c r="E242" i="8"/>
  <c r="E243" i="8"/>
  <c r="E244" i="8"/>
  <c r="E245" i="8"/>
  <c r="E246" i="8"/>
  <c r="E247" i="8"/>
  <c r="E248" i="8"/>
  <c r="E249" i="8"/>
  <c r="E250" i="8"/>
  <c r="E251" i="8"/>
  <c r="E252" i="8"/>
  <c r="E253" i="8"/>
  <c r="E254" i="8"/>
  <c r="E255" i="8"/>
  <c r="E256" i="8"/>
  <c r="E257" i="8"/>
  <c r="E258" i="8"/>
  <c r="E259" i="8"/>
  <c r="E260" i="8"/>
  <c r="E261" i="8"/>
  <c r="E262" i="8"/>
  <c r="E263" i="8"/>
  <c r="E264" i="8"/>
  <c r="E265" i="8"/>
  <c r="E266" i="8"/>
  <c r="E267" i="8"/>
  <c r="E268" i="8"/>
  <c r="E269" i="8"/>
  <c r="E270" i="8"/>
  <c r="E271" i="8"/>
  <c r="E272" i="8"/>
  <c r="E273" i="8"/>
  <c r="E274" i="8"/>
  <c r="E275" i="8"/>
  <c r="E276" i="8"/>
  <c r="E277" i="8"/>
  <c r="E278" i="8"/>
  <c r="E279" i="8"/>
  <c r="E280" i="8"/>
  <c r="E281" i="8"/>
  <c r="E282" i="8"/>
  <c r="E283" i="8"/>
  <c r="E284" i="8"/>
  <c r="E285" i="8"/>
  <c r="E286" i="8"/>
  <c r="E287" i="8"/>
  <c r="E288" i="8"/>
  <c r="E289" i="8"/>
  <c r="E290" i="8"/>
  <c r="E291" i="8"/>
  <c r="E292" i="8"/>
  <c r="E293" i="8"/>
  <c r="E294" i="8"/>
  <c r="E295" i="8"/>
  <c r="E296" i="8"/>
  <c r="E297" i="8"/>
  <c r="E298" i="8"/>
  <c r="E299" i="8"/>
  <c r="E300" i="8"/>
  <c r="E301" i="8"/>
  <c r="E302" i="8"/>
  <c r="E303" i="8"/>
  <c r="E304" i="8"/>
  <c r="E305" i="8"/>
  <c r="E306" i="8"/>
  <c r="E307" i="8"/>
  <c r="E308" i="8"/>
  <c r="E309" i="8"/>
  <c r="E310" i="8"/>
  <c r="E311" i="8"/>
  <c r="E312" i="8"/>
  <c r="E313" i="8"/>
  <c r="E314" i="8"/>
  <c r="E315" i="8"/>
  <c r="E316" i="8"/>
  <c r="E317" i="8"/>
  <c r="E318" i="8"/>
  <c r="E319" i="8"/>
  <c r="E320" i="8"/>
  <c r="E321" i="8"/>
  <c r="E322" i="8"/>
  <c r="E323" i="8"/>
  <c r="E324" i="8"/>
  <c r="E325" i="8"/>
  <c r="E326" i="8"/>
  <c r="E327" i="8"/>
  <c r="E328" i="8"/>
  <c r="E329" i="8"/>
  <c r="E330" i="8"/>
  <c r="E331" i="8"/>
  <c r="E332" i="8"/>
  <c r="E333" i="8"/>
  <c r="E334" i="8"/>
  <c r="E335" i="8"/>
  <c r="E336" i="8"/>
  <c r="E337" i="8"/>
  <c r="E338" i="8"/>
  <c r="E339" i="8"/>
  <c r="E340" i="8"/>
  <c r="E341" i="8"/>
  <c r="E342" i="8"/>
  <c r="E343" i="8"/>
  <c r="E344" i="8"/>
  <c r="E345" i="8"/>
  <c r="E346" i="8"/>
  <c r="E347" i="8"/>
  <c r="E348" i="8"/>
  <c r="E349" i="8"/>
  <c r="E350" i="8"/>
  <c r="E351" i="8"/>
  <c r="E352" i="8"/>
  <c r="E353" i="8"/>
  <c r="E354" i="8"/>
  <c r="E355" i="8"/>
  <c r="E356" i="8"/>
  <c r="E357" i="8"/>
  <c r="E358" i="8"/>
  <c r="E359" i="8"/>
  <c r="E360" i="8"/>
  <c r="E361" i="8"/>
  <c r="E362" i="8"/>
  <c r="E363" i="8"/>
  <c r="E364" i="8"/>
  <c r="E365" i="8"/>
  <c r="E366" i="8"/>
  <c r="E367" i="8"/>
  <c r="E368" i="8"/>
  <c r="E369" i="8"/>
  <c r="E370" i="8"/>
  <c r="E371" i="8"/>
  <c r="E372" i="8"/>
  <c r="E373" i="8"/>
  <c r="E374" i="8"/>
  <c r="E375" i="8"/>
  <c r="E376" i="8"/>
  <c r="E377" i="8"/>
  <c r="E378" i="8"/>
  <c r="E379" i="8"/>
  <c r="E380" i="8"/>
  <c r="E381" i="8"/>
  <c r="E382" i="8"/>
  <c r="E383" i="8"/>
  <c r="E384" i="8"/>
  <c r="E385" i="8"/>
  <c r="E386" i="8"/>
  <c r="E387" i="8"/>
  <c r="E388" i="8"/>
  <c r="E389" i="8"/>
  <c r="E390" i="8"/>
  <c r="E391" i="8"/>
  <c r="E392" i="8"/>
  <c r="E393" i="8"/>
  <c r="E394" i="8"/>
  <c r="E395" i="8"/>
  <c r="E396" i="8"/>
  <c r="E397" i="8"/>
  <c r="E398" i="8"/>
  <c r="E399" i="8"/>
  <c r="E400" i="8"/>
  <c r="E401" i="8"/>
  <c r="E402" i="8"/>
  <c r="G3" i="8"/>
  <c r="H3" i="8" s="1"/>
  <c r="A3" i="8"/>
  <c r="A4" i="8" s="1"/>
  <c r="A5" i="8" s="1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63" i="8" s="1"/>
  <c r="A64" i="8" s="1"/>
  <c r="A65" i="8" s="1"/>
  <c r="A66" i="8" s="1"/>
  <c r="A67" i="8" s="1"/>
  <c r="A68" i="8" s="1"/>
  <c r="A69" i="8" s="1"/>
  <c r="A70" i="8" s="1"/>
  <c r="A71" i="8" s="1"/>
  <c r="A72" i="8" s="1"/>
  <c r="A73" i="8" s="1"/>
  <c r="A74" i="8" s="1"/>
  <c r="A75" i="8" s="1"/>
  <c r="A76" i="8" s="1"/>
  <c r="A77" i="8" s="1"/>
  <c r="A78" i="8" s="1"/>
  <c r="A79" i="8" s="1"/>
  <c r="A80" i="8" s="1"/>
  <c r="A81" i="8" s="1"/>
  <c r="A82" i="8" s="1"/>
  <c r="A83" i="8" s="1"/>
  <c r="A84" i="8" s="1"/>
  <c r="A85" i="8" s="1"/>
  <c r="A86" i="8" s="1"/>
  <c r="A87" i="8" s="1"/>
  <c r="A88" i="8" s="1"/>
  <c r="A89" i="8" s="1"/>
  <c r="A90" i="8" s="1"/>
  <c r="A91" i="8" s="1"/>
  <c r="A92" i="8" s="1"/>
  <c r="A93" i="8" s="1"/>
  <c r="A94" i="8" s="1"/>
  <c r="A95" i="8" s="1"/>
  <c r="A96" i="8" s="1"/>
  <c r="A97" i="8" s="1"/>
  <c r="A98" i="8" s="1"/>
  <c r="A99" i="8" s="1"/>
  <c r="A100" i="8" s="1"/>
  <c r="A101" i="8" s="1"/>
  <c r="A102" i="8" s="1"/>
  <c r="A103" i="8" s="1"/>
  <c r="A104" i="8" s="1"/>
  <c r="A105" i="8" s="1"/>
  <c r="A106" i="8" s="1"/>
  <c r="A107" i="8" s="1"/>
  <c r="A108" i="8" s="1"/>
  <c r="A109" i="8" s="1"/>
  <c r="A110" i="8" s="1"/>
  <c r="A111" i="8" s="1"/>
  <c r="A112" i="8" s="1"/>
  <c r="A113" i="8" s="1"/>
  <c r="A114" i="8" s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A141" i="8" s="1"/>
  <c r="A142" i="8" s="1"/>
  <c r="A143" i="8" s="1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A201" i="8" s="1"/>
  <c r="A202" i="8" s="1"/>
  <c r="A203" i="8" s="1"/>
  <c r="A204" i="8" s="1"/>
  <c r="A205" i="8" s="1"/>
  <c r="A206" i="8" s="1"/>
  <c r="A207" i="8" s="1"/>
  <c r="A208" i="8" s="1"/>
  <c r="A209" i="8" s="1"/>
  <c r="A210" i="8" s="1"/>
  <c r="A211" i="8" s="1"/>
  <c r="A212" i="8" s="1"/>
  <c r="A213" i="8" s="1"/>
  <c r="A214" i="8" s="1"/>
  <c r="A215" i="8" s="1"/>
  <c r="A216" i="8" s="1"/>
  <c r="A217" i="8" s="1"/>
  <c r="A218" i="8" s="1"/>
  <c r="A219" i="8" s="1"/>
  <c r="A220" i="8" s="1"/>
  <c r="A221" i="8" s="1"/>
  <c r="A222" i="8" s="1"/>
  <c r="A223" i="8" s="1"/>
  <c r="A224" i="8" s="1"/>
  <c r="A225" i="8" s="1"/>
  <c r="A226" i="8" s="1"/>
  <c r="A227" i="8" s="1"/>
  <c r="A228" i="8" s="1"/>
  <c r="A229" i="8" s="1"/>
  <c r="A230" i="8" s="1"/>
  <c r="A231" i="8" s="1"/>
  <c r="A232" i="8" s="1"/>
  <c r="A233" i="8" s="1"/>
  <c r="A234" i="8" s="1"/>
  <c r="A235" i="8" s="1"/>
  <c r="A236" i="8" s="1"/>
  <c r="A237" i="8" s="1"/>
  <c r="A238" i="8" s="1"/>
  <c r="A239" i="8" s="1"/>
  <c r="A240" i="8" s="1"/>
  <c r="A241" i="8" s="1"/>
  <c r="A242" i="8" s="1"/>
  <c r="A243" i="8" s="1"/>
  <c r="A244" i="8" s="1"/>
  <c r="A245" i="8" s="1"/>
  <c r="A246" i="8" s="1"/>
  <c r="A247" i="8" s="1"/>
  <c r="A248" i="8" s="1"/>
  <c r="A249" i="8" s="1"/>
  <c r="A250" i="8" s="1"/>
  <c r="A251" i="8" s="1"/>
  <c r="A252" i="8" s="1"/>
  <c r="A253" i="8" s="1"/>
  <c r="A254" i="8" s="1"/>
  <c r="A255" i="8" s="1"/>
  <c r="A256" i="8" s="1"/>
  <c r="A257" i="8" s="1"/>
  <c r="A258" i="8" s="1"/>
  <c r="A259" i="8" s="1"/>
  <c r="A260" i="8" s="1"/>
  <c r="A261" i="8" s="1"/>
  <c r="A262" i="8" s="1"/>
  <c r="A263" i="8" s="1"/>
  <c r="A264" i="8" s="1"/>
  <c r="A265" i="8" s="1"/>
  <c r="A266" i="8" s="1"/>
  <c r="A267" i="8" s="1"/>
  <c r="A268" i="8" s="1"/>
  <c r="A269" i="8" s="1"/>
  <c r="A270" i="8" s="1"/>
  <c r="A271" i="8" s="1"/>
  <c r="A272" i="8" s="1"/>
  <c r="A273" i="8" s="1"/>
  <c r="A274" i="8" s="1"/>
  <c r="A275" i="8" s="1"/>
  <c r="A276" i="8" s="1"/>
  <c r="A277" i="8" s="1"/>
  <c r="A278" i="8" s="1"/>
  <c r="A279" i="8" s="1"/>
  <c r="A280" i="8" s="1"/>
  <c r="A281" i="8" s="1"/>
  <c r="A282" i="8" s="1"/>
  <c r="A283" i="8" s="1"/>
  <c r="A284" i="8" s="1"/>
  <c r="A285" i="8" s="1"/>
  <c r="A286" i="8" s="1"/>
  <c r="A287" i="8" s="1"/>
  <c r="A288" i="8" s="1"/>
  <c r="A289" i="8" s="1"/>
  <c r="A290" i="8" s="1"/>
  <c r="A291" i="8" s="1"/>
  <c r="A292" i="8" s="1"/>
  <c r="A293" i="8" s="1"/>
  <c r="A294" i="8" s="1"/>
  <c r="A295" i="8" s="1"/>
  <c r="A296" i="8" s="1"/>
  <c r="A297" i="8" s="1"/>
  <c r="A298" i="8" s="1"/>
  <c r="A299" i="8" s="1"/>
  <c r="A300" i="8" s="1"/>
  <c r="A301" i="8" s="1"/>
  <c r="A302" i="8" s="1"/>
  <c r="A303" i="8" s="1"/>
  <c r="A304" i="8" s="1"/>
  <c r="A305" i="8" s="1"/>
  <c r="A306" i="8" s="1"/>
  <c r="A307" i="8" s="1"/>
  <c r="A308" i="8" s="1"/>
  <c r="A309" i="8" s="1"/>
  <c r="A310" i="8" s="1"/>
  <c r="A311" i="8" s="1"/>
  <c r="A312" i="8" s="1"/>
  <c r="A313" i="8" s="1"/>
  <c r="A314" i="8" s="1"/>
  <c r="A315" i="8" s="1"/>
  <c r="A316" i="8" s="1"/>
  <c r="A317" i="8" s="1"/>
  <c r="A318" i="8" s="1"/>
  <c r="A319" i="8" s="1"/>
  <c r="A320" i="8" s="1"/>
  <c r="A321" i="8" s="1"/>
  <c r="A322" i="8" s="1"/>
  <c r="A323" i="8" s="1"/>
  <c r="A324" i="8" s="1"/>
  <c r="A325" i="8" s="1"/>
  <c r="A326" i="8" s="1"/>
  <c r="A327" i="8" s="1"/>
  <c r="A328" i="8" s="1"/>
  <c r="A329" i="8" s="1"/>
  <c r="A330" i="8" s="1"/>
  <c r="A331" i="8" s="1"/>
  <c r="A332" i="8" s="1"/>
  <c r="A333" i="8" s="1"/>
  <c r="A334" i="8" s="1"/>
  <c r="A335" i="8" s="1"/>
  <c r="A336" i="8" s="1"/>
  <c r="A337" i="8" s="1"/>
  <c r="A338" i="8" s="1"/>
  <c r="A339" i="8" s="1"/>
  <c r="A340" i="8" s="1"/>
  <c r="A341" i="8" s="1"/>
  <c r="A342" i="8" s="1"/>
  <c r="A343" i="8" s="1"/>
  <c r="A344" i="8" s="1"/>
  <c r="A345" i="8" s="1"/>
  <c r="A346" i="8" s="1"/>
  <c r="A347" i="8" s="1"/>
  <c r="A348" i="8" s="1"/>
  <c r="A349" i="8" s="1"/>
  <c r="A350" i="8" s="1"/>
  <c r="A351" i="8" s="1"/>
  <c r="A352" i="8" s="1"/>
  <c r="A353" i="8" s="1"/>
  <c r="A354" i="8" s="1"/>
  <c r="A355" i="8" s="1"/>
  <c r="A356" i="8" s="1"/>
  <c r="A357" i="8" s="1"/>
  <c r="A358" i="8" s="1"/>
  <c r="A359" i="8" s="1"/>
  <c r="A360" i="8" s="1"/>
  <c r="A361" i="8" s="1"/>
  <c r="A362" i="8" s="1"/>
  <c r="A363" i="8" s="1"/>
  <c r="A364" i="8" s="1"/>
  <c r="A365" i="8" s="1"/>
  <c r="A366" i="8" s="1"/>
  <c r="A367" i="8" s="1"/>
  <c r="A368" i="8" s="1"/>
  <c r="A369" i="8" s="1"/>
  <c r="A370" i="8" s="1"/>
  <c r="A371" i="8" s="1"/>
  <c r="A372" i="8" s="1"/>
  <c r="A373" i="8" s="1"/>
  <c r="A374" i="8" s="1"/>
  <c r="A375" i="8" s="1"/>
  <c r="A376" i="8" s="1"/>
  <c r="A377" i="8" s="1"/>
  <c r="A378" i="8" s="1"/>
  <c r="A379" i="8" s="1"/>
  <c r="A380" i="8" s="1"/>
  <c r="A381" i="8" s="1"/>
  <c r="A382" i="8" s="1"/>
  <c r="A383" i="8" s="1"/>
  <c r="A384" i="8" s="1"/>
  <c r="A385" i="8" s="1"/>
  <c r="A386" i="8" s="1"/>
  <c r="A387" i="8" s="1"/>
  <c r="A388" i="8" s="1"/>
  <c r="A389" i="8" s="1"/>
  <c r="A390" i="8" s="1"/>
  <c r="A391" i="8" s="1"/>
  <c r="A392" i="8" s="1"/>
  <c r="A393" i="8" s="1"/>
  <c r="A394" i="8" s="1"/>
  <c r="A395" i="8" s="1"/>
  <c r="A396" i="8" s="1"/>
  <c r="A397" i="8" s="1"/>
  <c r="A398" i="8" s="1"/>
  <c r="A399" i="8" s="1"/>
  <c r="A400" i="8" s="1"/>
  <c r="A401" i="8" s="1"/>
  <c r="A402" i="8" s="1"/>
  <c r="J2" i="8"/>
  <c r="K2" i="8"/>
  <c r="C10" i="10" l="1"/>
  <c r="C11" i="10" s="1"/>
  <c r="C12" i="10" s="1"/>
  <c r="C13" i="10" s="1"/>
  <c r="E9" i="10"/>
  <c r="E6" i="10"/>
  <c r="E7" i="10"/>
  <c r="E11" i="10"/>
  <c r="E10" i="10"/>
  <c r="E8" i="10"/>
  <c r="E12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A64" i="10" s="1"/>
  <c r="A65" i="10" s="1"/>
  <c r="A66" i="10" s="1"/>
  <c r="A67" i="10" s="1"/>
  <c r="A68" i="10" s="1"/>
  <c r="A69" i="10" s="1"/>
  <c r="A70" i="10" s="1"/>
  <c r="A71" i="10" s="1"/>
  <c r="A72" i="10" s="1"/>
  <c r="A73" i="10" s="1"/>
  <c r="A74" i="10" s="1"/>
  <c r="A75" i="10" s="1"/>
  <c r="A76" i="10" s="1"/>
  <c r="A77" i="10" s="1"/>
  <c r="A78" i="10" s="1"/>
  <c r="A79" i="10" s="1"/>
  <c r="A80" i="10" s="1"/>
  <c r="A81" i="10" s="1"/>
  <c r="A82" i="10" s="1"/>
  <c r="A83" i="10" s="1"/>
  <c r="A84" i="10" s="1"/>
  <c r="A85" i="10" s="1"/>
  <c r="A86" i="10" s="1"/>
  <c r="A87" i="10" s="1"/>
  <c r="A88" i="10" s="1"/>
  <c r="A89" i="10" s="1"/>
  <c r="A90" i="10" s="1"/>
  <c r="A91" i="10" s="1"/>
  <c r="A92" i="10" s="1"/>
  <c r="A93" i="10" s="1"/>
  <c r="A94" i="10" s="1"/>
  <c r="A95" i="10" s="1"/>
  <c r="A96" i="10" s="1"/>
  <c r="A97" i="10" s="1"/>
  <c r="A98" i="10" s="1"/>
  <c r="A99" i="10" s="1"/>
  <c r="A100" i="10" s="1"/>
  <c r="A101" i="10" s="1"/>
  <c r="A102" i="10" s="1"/>
  <c r="A103" i="10" s="1"/>
  <c r="A104" i="10" s="1"/>
  <c r="A105" i="10" s="1"/>
  <c r="A106" i="10" s="1"/>
  <c r="A107" i="10" s="1"/>
  <c r="A108" i="10" s="1"/>
  <c r="A109" i="10" s="1"/>
  <c r="A110" i="10" s="1"/>
  <c r="A111" i="10" s="1"/>
  <c r="A112" i="10" s="1"/>
  <c r="A113" i="10" s="1"/>
  <c r="A114" i="10" s="1"/>
  <c r="A115" i="10" s="1"/>
  <c r="A116" i="10" s="1"/>
  <c r="A117" i="10" s="1"/>
  <c r="A118" i="10" s="1"/>
  <c r="A119" i="10" s="1"/>
  <c r="A120" i="10" s="1"/>
  <c r="A121" i="10" s="1"/>
  <c r="A122" i="10" s="1"/>
  <c r="A123" i="10" s="1"/>
  <c r="A124" i="10" s="1"/>
  <c r="A125" i="10" s="1"/>
  <c r="A126" i="10" s="1"/>
  <c r="A127" i="10" s="1"/>
  <c r="A128" i="10" s="1"/>
  <c r="A129" i="10" s="1"/>
  <c r="A130" i="10" s="1"/>
  <c r="A131" i="10" s="1"/>
  <c r="A132" i="10" s="1"/>
  <c r="A133" i="10" s="1"/>
  <c r="A134" i="10" s="1"/>
  <c r="A135" i="10" s="1"/>
  <c r="A136" i="10" s="1"/>
  <c r="A137" i="10" s="1"/>
  <c r="A138" i="10" s="1"/>
  <c r="A139" i="10" s="1"/>
  <c r="A140" i="10" s="1"/>
  <c r="A141" i="10" s="1"/>
  <c r="A142" i="10" s="1"/>
  <c r="A143" i="10" s="1"/>
  <c r="A144" i="10" s="1"/>
  <c r="A145" i="10" s="1"/>
  <c r="A146" i="10" s="1"/>
  <c r="A147" i="10" s="1"/>
  <c r="A148" i="10" s="1"/>
  <c r="A149" i="10" s="1"/>
  <c r="A150" i="10" s="1"/>
  <c r="A151" i="10" s="1"/>
  <c r="A152" i="10" s="1"/>
  <c r="A153" i="10" s="1"/>
  <c r="A154" i="10" s="1"/>
  <c r="A155" i="10" s="1"/>
  <c r="A156" i="10" s="1"/>
  <c r="A157" i="10" s="1"/>
  <c r="A158" i="10" s="1"/>
  <c r="A159" i="10" s="1"/>
  <c r="A160" i="10" s="1"/>
  <c r="A161" i="10" s="1"/>
  <c r="A162" i="10" s="1"/>
  <c r="A163" i="10" s="1"/>
  <c r="A164" i="10" s="1"/>
  <c r="A165" i="10" s="1"/>
  <c r="A166" i="10" s="1"/>
  <c r="A167" i="10" s="1"/>
  <c r="A168" i="10" s="1"/>
  <c r="A169" i="10" s="1"/>
  <c r="A170" i="10" s="1"/>
  <c r="A171" i="10" s="1"/>
  <c r="A172" i="10" s="1"/>
  <c r="A173" i="10" s="1"/>
  <c r="A174" i="10" s="1"/>
  <c r="A175" i="10" s="1"/>
  <c r="A176" i="10" s="1"/>
  <c r="A177" i="10" s="1"/>
  <c r="A178" i="10" s="1"/>
  <c r="A179" i="10" s="1"/>
  <c r="A180" i="10" s="1"/>
  <c r="A181" i="10" s="1"/>
  <c r="A182" i="10" s="1"/>
  <c r="A183" i="10" s="1"/>
  <c r="A184" i="10" s="1"/>
  <c r="A185" i="10" s="1"/>
  <c r="A186" i="10" s="1"/>
  <c r="A187" i="10" s="1"/>
  <c r="A188" i="10" s="1"/>
  <c r="A189" i="10" s="1"/>
  <c r="A190" i="10" s="1"/>
  <c r="A191" i="10" s="1"/>
  <c r="A192" i="10" s="1"/>
  <c r="A193" i="10" s="1"/>
  <c r="A194" i="10" s="1"/>
  <c r="A195" i="10" s="1"/>
  <c r="A196" i="10" s="1"/>
  <c r="A197" i="10" s="1"/>
  <c r="A198" i="10" s="1"/>
  <c r="A199" i="10" s="1"/>
  <c r="A200" i="10" s="1"/>
  <c r="A201" i="10" s="1"/>
  <c r="A202" i="10" s="1"/>
  <c r="A203" i="10" s="1"/>
  <c r="A204" i="10" s="1"/>
  <c r="A205" i="10" s="1"/>
  <c r="A206" i="10" s="1"/>
  <c r="A207" i="10" s="1"/>
  <c r="A208" i="10" s="1"/>
  <c r="A209" i="10" s="1"/>
  <c r="A210" i="10" s="1"/>
  <c r="A211" i="10" s="1"/>
  <c r="A212" i="10" s="1"/>
  <c r="A213" i="10" s="1"/>
  <c r="A214" i="10" s="1"/>
  <c r="A215" i="10" s="1"/>
  <c r="A216" i="10" s="1"/>
  <c r="A217" i="10" s="1"/>
  <c r="A218" i="10" s="1"/>
  <c r="A219" i="10" s="1"/>
  <c r="A220" i="10" s="1"/>
  <c r="A221" i="10" s="1"/>
  <c r="A222" i="10" s="1"/>
  <c r="A223" i="10" s="1"/>
  <c r="A224" i="10" s="1"/>
  <c r="A225" i="10" s="1"/>
  <c r="A226" i="10" s="1"/>
  <c r="A227" i="10" s="1"/>
  <c r="A228" i="10" s="1"/>
  <c r="A229" i="10" s="1"/>
  <c r="A230" i="10" s="1"/>
  <c r="A231" i="10" s="1"/>
  <c r="A232" i="10" s="1"/>
  <c r="A233" i="10" s="1"/>
  <c r="A234" i="10" s="1"/>
  <c r="A235" i="10" s="1"/>
  <c r="A236" i="10" s="1"/>
  <c r="A237" i="10" s="1"/>
  <c r="A238" i="10" s="1"/>
  <c r="A239" i="10" s="1"/>
  <c r="A240" i="10" s="1"/>
  <c r="A241" i="10" s="1"/>
  <c r="A242" i="10" s="1"/>
  <c r="A243" i="10" s="1"/>
  <c r="A244" i="10" s="1"/>
  <c r="A245" i="10" s="1"/>
  <c r="A246" i="10" s="1"/>
  <c r="A247" i="10" s="1"/>
  <c r="A248" i="10" s="1"/>
  <c r="A249" i="10" s="1"/>
  <c r="A250" i="10" s="1"/>
  <c r="A251" i="10" s="1"/>
  <c r="A252" i="10" s="1"/>
  <c r="A253" i="10" s="1"/>
  <c r="A254" i="10" s="1"/>
  <c r="A255" i="10" s="1"/>
  <c r="A256" i="10" s="1"/>
  <c r="A257" i="10" s="1"/>
  <c r="A258" i="10" s="1"/>
  <c r="A259" i="10" s="1"/>
  <c r="A260" i="10" s="1"/>
  <c r="A261" i="10" s="1"/>
  <c r="A262" i="10" s="1"/>
  <c r="A263" i="10" s="1"/>
  <c r="A264" i="10" s="1"/>
  <c r="A265" i="10" s="1"/>
  <c r="A266" i="10" s="1"/>
  <c r="A267" i="10" s="1"/>
  <c r="A268" i="10" s="1"/>
  <c r="A269" i="10" s="1"/>
  <c r="A270" i="10" s="1"/>
  <c r="A271" i="10" s="1"/>
  <c r="A272" i="10" s="1"/>
  <c r="A273" i="10" s="1"/>
  <c r="A274" i="10" s="1"/>
  <c r="A275" i="10" s="1"/>
  <c r="A276" i="10" s="1"/>
  <c r="A277" i="10" s="1"/>
  <c r="A278" i="10" s="1"/>
  <c r="A279" i="10" s="1"/>
  <c r="A280" i="10" s="1"/>
  <c r="A281" i="10" s="1"/>
  <c r="A282" i="10" s="1"/>
  <c r="A283" i="10" s="1"/>
  <c r="A284" i="10" s="1"/>
  <c r="A285" i="10" s="1"/>
  <c r="A286" i="10" s="1"/>
  <c r="A287" i="10" s="1"/>
  <c r="A288" i="10" s="1"/>
  <c r="A289" i="10" s="1"/>
  <c r="A290" i="10" s="1"/>
  <c r="A291" i="10" s="1"/>
  <c r="A292" i="10" s="1"/>
  <c r="A293" i="10" s="1"/>
  <c r="A294" i="10" s="1"/>
  <c r="A295" i="10" s="1"/>
  <c r="A296" i="10" s="1"/>
  <c r="A297" i="10" s="1"/>
  <c r="A298" i="10" s="1"/>
  <c r="A299" i="10" s="1"/>
  <c r="A300" i="10" s="1"/>
  <c r="A301" i="10" s="1"/>
  <c r="A302" i="10" s="1"/>
  <c r="A303" i="10" s="1"/>
  <c r="A304" i="10" s="1"/>
  <c r="A305" i="10" s="1"/>
  <c r="A306" i="10" s="1"/>
  <c r="A307" i="10" s="1"/>
  <c r="A308" i="10" s="1"/>
  <c r="A309" i="10" s="1"/>
  <c r="A310" i="10" s="1"/>
  <c r="A311" i="10" s="1"/>
  <c r="A312" i="10" s="1"/>
  <c r="A313" i="10" s="1"/>
  <c r="A314" i="10" s="1"/>
  <c r="A315" i="10" s="1"/>
  <c r="A316" i="10" s="1"/>
  <c r="A317" i="10" s="1"/>
  <c r="A318" i="10" s="1"/>
  <c r="A319" i="10" s="1"/>
  <c r="A320" i="10" s="1"/>
  <c r="A321" i="10" s="1"/>
  <c r="A322" i="10" s="1"/>
  <c r="A323" i="10" s="1"/>
  <c r="A324" i="10" s="1"/>
  <c r="A325" i="10" s="1"/>
  <c r="A326" i="10" s="1"/>
  <c r="A327" i="10" s="1"/>
  <c r="A328" i="10" s="1"/>
  <c r="A329" i="10" s="1"/>
  <c r="A330" i="10" s="1"/>
  <c r="A331" i="10" s="1"/>
  <c r="A332" i="10" s="1"/>
  <c r="A333" i="10" s="1"/>
  <c r="A334" i="10" s="1"/>
  <c r="A335" i="10" s="1"/>
  <c r="A336" i="10" s="1"/>
  <c r="A337" i="10" s="1"/>
  <c r="A338" i="10" s="1"/>
  <c r="A339" i="10" s="1"/>
  <c r="A340" i="10" s="1"/>
  <c r="A341" i="10" s="1"/>
  <c r="A342" i="10" s="1"/>
  <c r="A343" i="10" s="1"/>
  <c r="A344" i="10" s="1"/>
  <c r="A345" i="10" s="1"/>
  <c r="A346" i="10" s="1"/>
  <c r="A347" i="10" s="1"/>
  <c r="A348" i="10" s="1"/>
  <c r="A349" i="10" s="1"/>
  <c r="A350" i="10" s="1"/>
  <c r="A351" i="10" s="1"/>
  <c r="A352" i="10" s="1"/>
  <c r="A353" i="10" s="1"/>
  <c r="A354" i="10" s="1"/>
  <c r="A355" i="10" s="1"/>
  <c r="A356" i="10" s="1"/>
  <c r="A357" i="10" s="1"/>
  <c r="A358" i="10" s="1"/>
  <c r="A359" i="10" s="1"/>
  <c r="A360" i="10" s="1"/>
  <c r="A361" i="10" s="1"/>
  <c r="A362" i="10" s="1"/>
  <c r="A363" i="10" s="1"/>
  <c r="A364" i="10" s="1"/>
  <c r="A365" i="10" s="1"/>
  <c r="A366" i="10" s="1"/>
  <c r="A367" i="10" s="1"/>
  <c r="A368" i="10" s="1"/>
  <c r="A369" i="10" s="1"/>
  <c r="A370" i="10" s="1"/>
  <c r="A371" i="10" s="1"/>
  <c r="A372" i="10" s="1"/>
  <c r="A373" i="10" s="1"/>
  <c r="A374" i="10" s="1"/>
  <c r="A375" i="10" s="1"/>
  <c r="A376" i="10" s="1"/>
  <c r="A377" i="10" s="1"/>
  <c r="A378" i="10" s="1"/>
  <c r="A379" i="10" s="1"/>
  <c r="A380" i="10" s="1"/>
  <c r="A381" i="10" s="1"/>
  <c r="A382" i="10" s="1"/>
  <c r="A383" i="10" s="1"/>
  <c r="A384" i="10" s="1"/>
  <c r="A385" i="10" s="1"/>
  <c r="A386" i="10" s="1"/>
  <c r="A387" i="10" s="1"/>
  <c r="A388" i="10" s="1"/>
  <c r="A389" i="10" s="1"/>
  <c r="A390" i="10" s="1"/>
  <c r="A391" i="10" s="1"/>
  <c r="A392" i="10" s="1"/>
  <c r="A393" i="10" s="1"/>
  <c r="A394" i="10" s="1"/>
  <c r="A395" i="10" s="1"/>
  <c r="A396" i="10" s="1"/>
  <c r="A397" i="10" s="1"/>
  <c r="A398" i="10" s="1"/>
  <c r="A399" i="10" s="1"/>
  <c r="A400" i="10" s="1"/>
  <c r="A401" i="10" s="1"/>
  <c r="A402" i="10" s="1"/>
  <c r="B27" i="8"/>
  <c r="B28" i="8" s="1"/>
  <c r="G28" i="8" s="1"/>
  <c r="B29" i="8"/>
  <c r="F28" i="8"/>
  <c r="F113" i="8"/>
  <c r="B115" i="8"/>
  <c r="G114" i="8"/>
  <c r="F114" i="8"/>
  <c r="B116" i="8"/>
  <c r="G115" i="8"/>
  <c r="F115" i="8"/>
  <c r="F116" i="8"/>
  <c r="B117" i="8"/>
  <c r="G116" i="8"/>
  <c r="D116" i="8"/>
  <c r="E3" i="8"/>
  <c r="F3" i="8"/>
  <c r="G7" i="9"/>
  <c r="K3" i="8"/>
  <c r="M3" i="8" s="1"/>
  <c r="J3" i="8"/>
  <c r="L3" i="8" s="1"/>
  <c r="I3" i="8"/>
  <c r="O2" i="8"/>
  <c r="C14" i="10" l="1"/>
  <c r="E13" i="10"/>
  <c r="O2" i="10"/>
  <c r="D29" i="8"/>
  <c r="F29" i="8"/>
  <c r="B30" i="8"/>
  <c r="G29" i="8"/>
  <c r="B118" i="8"/>
  <c r="F117" i="8"/>
  <c r="G117" i="8"/>
  <c r="D117" i="8"/>
  <c r="C15" i="10" l="1"/>
  <c r="E14" i="10"/>
  <c r="B31" i="8"/>
  <c r="D30" i="8"/>
  <c r="F30" i="8"/>
  <c r="G30" i="8"/>
  <c r="F118" i="8"/>
  <c r="G118" i="8"/>
  <c r="D118" i="8"/>
  <c r="B119" i="8"/>
  <c r="C16" i="10" l="1"/>
  <c r="E15" i="10"/>
  <c r="D31" i="8"/>
  <c r="B32" i="8"/>
  <c r="F31" i="8"/>
  <c r="G31" i="8"/>
  <c r="F119" i="8"/>
  <c r="G119" i="8"/>
  <c r="D119" i="8"/>
  <c r="B120" i="8"/>
  <c r="C17" i="10" l="1"/>
  <c r="E16" i="10"/>
  <c r="D32" i="8"/>
  <c r="B33" i="8"/>
  <c r="F32" i="8"/>
  <c r="G32" i="8"/>
  <c r="B121" i="8"/>
  <c r="F120" i="8"/>
  <c r="G120" i="8"/>
  <c r="D120" i="8"/>
  <c r="C18" i="10" l="1"/>
  <c r="E17" i="10"/>
  <c r="D33" i="8"/>
  <c r="F33" i="8"/>
  <c r="G33" i="8"/>
  <c r="B34" i="8"/>
  <c r="F121" i="8"/>
  <c r="B122" i="8"/>
  <c r="G121" i="8"/>
  <c r="D121" i="8"/>
  <c r="E18" i="10" l="1"/>
  <c r="C19" i="10"/>
  <c r="B35" i="8"/>
  <c r="D34" i="8"/>
  <c r="F34" i="8"/>
  <c r="G34" i="8"/>
  <c r="F122" i="8"/>
  <c r="G122" i="8"/>
  <c r="B123" i="8"/>
  <c r="D122" i="8"/>
  <c r="C20" i="10" l="1"/>
  <c r="E19" i="10"/>
  <c r="D35" i="8"/>
  <c r="B36" i="8"/>
  <c r="F35" i="8"/>
  <c r="G35" i="8"/>
  <c r="F123" i="8"/>
  <c r="G123" i="8"/>
  <c r="D123" i="8"/>
  <c r="B124" i="8"/>
  <c r="C21" i="10" l="1"/>
  <c r="E20" i="10"/>
  <c r="D36" i="8"/>
  <c r="B37" i="8"/>
  <c r="F36" i="8"/>
  <c r="G36" i="8"/>
  <c r="B125" i="8"/>
  <c r="F124" i="8"/>
  <c r="D124" i="8"/>
  <c r="G124" i="8"/>
  <c r="E21" i="10" l="1"/>
  <c r="C22" i="10"/>
  <c r="D37" i="8"/>
  <c r="F37" i="8"/>
  <c r="G37" i="8"/>
  <c r="B38" i="8"/>
  <c r="F125" i="8"/>
  <c r="B126" i="8"/>
  <c r="G125" i="8"/>
  <c r="D125" i="8"/>
  <c r="E22" i="10" l="1"/>
  <c r="C23" i="10"/>
  <c r="B39" i="8"/>
  <c r="D38" i="8"/>
  <c r="F38" i="8"/>
  <c r="G38" i="8"/>
  <c r="F126" i="8"/>
  <c r="G126" i="8"/>
  <c r="B127" i="8"/>
  <c r="D126" i="8"/>
  <c r="C24" i="10" l="1"/>
  <c r="E23" i="10"/>
  <c r="D39" i="8"/>
  <c r="B40" i="8"/>
  <c r="F39" i="8"/>
  <c r="G39" i="8"/>
  <c r="F127" i="8"/>
  <c r="G127" i="8"/>
  <c r="D127" i="8"/>
  <c r="B128" i="8"/>
  <c r="C25" i="10" l="1"/>
  <c r="E24" i="10"/>
  <c r="D40" i="8"/>
  <c r="B41" i="8"/>
  <c r="F40" i="8"/>
  <c r="G40" i="8"/>
  <c r="B129" i="8"/>
  <c r="F128" i="8"/>
  <c r="D128" i="8"/>
  <c r="G128" i="8"/>
  <c r="C26" i="10" l="1"/>
  <c r="E25" i="10"/>
  <c r="D41" i="8"/>
  <c r="F41" i="8"/>
  <c r="B42" i="8"/>
  <c r="G41" i="8"/>
  <c r="F129" i="8"/>
  <c r="B130" i="8"/>
  <c r="D129" i="8"/>
  <c r="G129" i="8"/>
  <c r="C27" i="10" l="1"/>
  <c r="E26" i="10"/>
  <c r="B43" i="8"/>
  <c r="D42" i="8"/>
  <c r="F42" i="8"/>
  <c r="G42" i="8"/>
  <c r="F130" i="8"/>
  <c r="D130" i="8"/>
  <c r="G130" i="8"/>
  <c r="B131" i="8"/>
  <c r="E27" i="10" l="1"/>
  <c r="C28" i="10"/>
  <c r="D43" i="8"/>
  <c r="B44" i="8"/>
  <c r="F43" i="8"/>
  <c r="G43" i="8"/>
  <c r="D131" i="8"/>
  <c r="B132" i="8"/>
  <c r="F131" i="8"/>
  <c r="G131" i="8"/>
  <c r="C29" i="10" l="1"/>
  <c r="E28" i="10"/>
  <c r="D44" i="8"/>
  <c r="B45" i="8"/>
  <c r="F44" i="8"/>
  <c r="G44" i="8"/>
  <c r="B133" i="8"/>
  <c r="D132" i="8"/>
  <c r="F132" i="8"/>
  <c r="G132" i="8"/>
  <c r="C30" i="10" l="1"/>
  <c r="E29" i="10"/>
  <c r="D45" i="8"/>
  <c r="F45" i="8"/>
  <c r="B46" i="8"/>
  <c r="G45" i="8"/>
  <c r="B134" i="8"/>
  <c r="G133" i="8"/>
  <c r="D133" i="8"/>
  <c r="F133" i="8"/>
  <c r="C31" i="10" l="1"/>
  <c r="E30" i="10"/>
  <c r="B47" i="8"/>
  <c r="D46" i="8"/>
  <c r="F46" i="8"/>
  <c r="G46" i="8"/>
  <c r="B135" i="8"/>
  <c r="F134" i="8"/>
  <c r="G134" i="8"/>
  <c r="D134" i="8"/>
  <c r="C32" i="10" l="1"/>
  <c r="E31" i="10"/>
  <c r="D47" i="8"/>
  <c r="B48" i="8"/>
  <c r="F47" i="8"/>
  <c r="G47" i="8"/>
  <c r="D135" i="8"/>
  <c r="B136" i="8"/>
  <c r="F135" i="8"/>
  <c r="G135" i="8"/>
  <c r="C33" i="10" l="1"/>
  <c r="E32" i="10"/>
  <c r="D48" i="8"/>
  <c r="B49" i="8"/>
  <c r="F48" i="8"/>
  <c r="G48" i="8"/>
  <c r="B137" i="8"/>
  <c r="D136" i="8"/>
  <c r="G136" i="8"/>
  <c r="F136" i="8"/>
  <c r="E33" i="10" l="1"/>
  <c r="C34" i="10"/>
  <c r="D49" i="8"/>
  <c r="F49" i="8"/>
  <c r="G49" i="8"/>
  <c r="B50" i="8"/>
  <c r="B138" i="8"/>
  <c r="D137" i="8"/>
  <c r="G137" i="8"/>
  <c r="F137" i="8"/>
  <c r="C35" i="10" l="1"/>
  <c r="E34" i="10"/>
  <c r="B51" i="8"/>
  <c r="D50" i="8"/>
  <c r="F50" i="8"/>
  <c r="G50" i="8"/>
  <c r="B139" i="8"/>
  <c r="D138" i="8"/>
  <c r="F138" i="8"/>
  <c r="G138" i="8"/>
  <c r="F25" i="8"/>
  <c r="G25" i="8"/>
  <c r="C36" i="10" l="1"/>
  <c r="E35" i="10"/>
  <c r="D51" i="8"/>
  <c r="B52" i="8"/>
  <c r="F51" i="8"/>
  <c r="G51" i="8"/>
  <c r="D139" i="8"/>
  <c r="B140" i="8"/>
  <c r="G139" i="8"/>
  <c r="F139" i="8"/>
  <c r="G26" i="8"/>
  <c r="F26" i="8"/>
  <c r="C37" i="10" l="1"/>
  <c r="E36" i="10"/>
  <c r="D52" i="8"/>
  <c r="B53" i="8"/>
  <c r="F52" i="8"/>
  <c r="G52" i="8"/>
  <c r="B141" i="8"/>
  <c r="D140" i="8"/>
  <c r="F140" i="8"/>
  <c r="G140" i="8"/>
  <c r="F27" i="8"/>
  <c r="C38" i="10" l="1"/>
  <c r="E37" i="10"/>
  <c r="D53" i="8"/>
  <c r="F53" i="8"/>
  <c r="G53" i="8"/>
  <c r="B54" i="8"/>
  <c r="B142" i="8"/>
  <c r="D141" i="8"/>
  <c r="F141" i="8"/>
  <c r="G141" i="8"/>
  <c r="D28" i="8"/>
  <c r="G27" i="8"/>
  <c r="C39" i="10" l="1"/>
  <c r="E38" i="10"/>
  <c r="B55" i="8"/>
  <c r="D54" i="8"/>
  <c r="F54" i="8"/>
  <c r="G54" i="8"/>
  <c r="B143" i="8"/>
  <c r="D142" i="8"/>
  <c r="F142" i="8"/>
  <c r="G142" i="8"/>
  <c r="C40" i="10" l="1"/>
  <c r="E39" i="10"/>
  <c r="D55" i="8"/>
  <c r="B56" i="8"/>
  <c r="F55" i="8"/>
  <c r="G55" i="8"/>
  <c r="D143" i="8"/>
  <c r="F143" i="8"/>
  <c r="G143" i="8"/>
  <c r="B144" i="8"/>
  <c r="C41" i="10" l="1"/>
  <c r="E40" i="10"/>
  <c r="D56" i="8"/>
  <c r="B57" i="8"/>
  <c r="F56" i="8"/>
  <c r="G56" i="8"/>
  <c r="B145" i="8"/>
  <c r="D144" i="8"/>
  <c r="F144" i="8"/>
  <c r="G144" i="8"/>
  <c r="C42" i="10" l="1"/>
  <c r="E41" i="10"/>
  <c r="D57" i="8"/>
  <c r="F57" i="8"/>
  <c r="B58" i="8"/>
  <c r="G57" i="8"/>
  <c r="B146" i="8"/>
  <c r="D145" i="8"/>
  <c r="F145" i="8"/>
  <c r="G145" i="8"/>
  <c r="C43" i="10" l="1"/>
  <c r="E42" i="10"/>
  <c r="B59" i="8"/>
  <c r="D58" i="8"/>
  <c r="F58" i="8"/>
  <c r="G58" i="8"/>
  <c r="B147" i="8"/>
  <c r="F146" i="8"/>
  <c r="D146" i="8"/>
  <c r="G146" i="8"/>
  <c r="C44" i="10" l="1"/>
  <c r="E43" i="10"/>
  <c r="D59" i="8"/>
  <c r="B60" i="8"/>
  <c r="F59" i="8"/>
  <c r="G59" i="8"/>
  <c r="B148" i="8"/>
  <c r="D147" i="8"/>
  <c r="F147" i="8"/>
  <c r="G147" i="8"/>
  <c r="C45" i="10" l="1"/>
  <c r="E44" i="10"/>
  <c r="D60" i="8"/>
  <c r="B61" i="8"/>
  <c r="F60" i="8"/>
  <c r="G60" i="8"/>
  <c r="B149" i="8"/>
  <c r="F148" i="8"/>
  <c r="D148" i="8"/>
  <c r="G148" i="8"/>
  <c r="C46" i="10" l="1"/>
  <c r="E45" i="10"/>
  <c r="D61" i="8"/>
  <c r="F61" i="8"/>
  <c r="B62" i="8"/>
  <c r="G61" i="8"/>
  <c r="B150" i="8"/>
  <c r="D149" i="8"/>
  <c r="F149" i="8"/>
  <c r="G149" i="8"/>
  <c r="C47" i="10" l="1"/>
  <c r="E46" i="10"/>
  <c r="B63" i="8"/>
  <c r="D62" i="8"/>
  <c r="F62" i="8"/>
  <c r="G62" i="8"/>
  <c r="B151" i="8"/>
  <c r="F150" i="8"/>
  <c r="G150" i="8"/>
  <c r="D150" i="8"/>
  <c r="C48" i="10" l="1"/>
  <c r="E47" i="10"/>
  <c r="D63" i="8"/>
  <c r="B64" i="8"/>
  <c r="F63" i="8"/>
  <c r="G63" i="8"/>
  <c r="D151" i="8"/>
  <c r="B152" i="8"/>
  <c r="F151" i="8"/>
  <c r="G151" i="8"/>
  <c r="C49" i="10" l="1"/>
  <c r="E48" i="10"/>
  <c r="D64" i="8"/>
  <c r="B65" i="8"/>
  <c r="F64" i="8"/>
  <c r="G64" i="8"/>
  <c r="B153" i="8"/>
  <c r="D152" i="8"/>
  <c r="F152" i="8"/>
  <c r="G152" i="8"/>
  <c r="E49" i="10" l="1"/>
  <c r="C50" i="10"/>
  <c r="D65" i="8"/>
  <c r="F65" i="8"/>
  <c r="G65" i="8"/>
  <c r="B66" i="8"/>
  <c r="B154" i="8"/>
  <c r="D153" i="8"/>
  <c r="F153" i="8"/>
  <c r="G153" i="8"/>
  <c r="C51" i="10" l="1"/>
  <c r="E50" i="10"/>
  <c r="B67" i="8"/>
  <c r="D66" i="8"/>
  <c r="F66" i="8"/>
  <c r="G66" i="8"/>
  <c r="B155" i="8"/>
  <c r="D154" i="8"/>
  <c r="F154" i="8"/>
  <c r="G154" i="8"/>
  <c r="C52" i="10" l="1"/>
  <c r="E51" i="10"/>
  <c r="D67" i="8"/>
  <c r="B68" i="8"/>
  <c r="F67" i="8"/>
  <c r="G67" i="8"/>
  <c r="D155" i="8"/>
  <c r="B156" i="8"/>
  <c r="F155" i="8"/>
  <c r="G155" i="8"/>
  <c r="C53" i="10" l="1"/>
  <c r="E52" i="10"/>
  <c r="D68" i="8"/>
  <c r="B69" i="8"/>
  <c r="F68" i="8"/>
  <c r="G68" i="8"/>
  <c r="B157" i="8"/>
  <c r="D156" i="8"/>
  <c r="F156" i="8"/>
  <c r="G156" i="8"/>
  <c r="C54" i="10" l="1"/>
  <c r="E53" i="10"/>
  <c r="D69" i="8"/>
  <c r="F69" i="8"/>
  <c r="G69" i="8"/>
  <c r="B70" i="8"/>
  <c r="B158" i="8"/>
  <c r="G157" i="8"/>
  <c r="D157" i="8"/>
  <c r="F157" i="8"/>
  <c r="C55" i="10" l="1"/>
  <c r="E54" i="10"/>
  <c r="B71" i="8"/>
  <c r="D70" i="8"/>
  <c r="F70" i="8"/>
  <c r="G70" i="8"/>
  <c r="B159" i="8"/>
  <c r="F158" i="8"/>
  <c r="D158" i="8"/>
  <c r="G158" i="8"/>
  <c r="C56" i="10" l="1"/>
  <c r="E55" i="10"/>
  <c r="D71" i="8"/>
  <c r="B72" i="8"/>
  <c r="F71" i="8"/>
  <c r="G71" i="8"/>
  <c r="D159" i="8"/>
  <c r="F159" i="8"/>
  <c r="G159" i="8"/>
  <c r="B160" i="8"/>
  <c r="C57" i="10" l="1"/>
  <c r="E56" i="10"/>
  <c r="D72" i="8"/>
  <c r="B73" i="8"/>
  <c r="F72" i="8"/>
  <c r="G72" i="8"/>
  <c r="B161" i="8"/>
  <c r="D160" i="8"/>
  <c r="F160" i="8"/>
  <c r="G160" i="8"/>
  <c r="C58" i="10" l="1"/>
  <c r="E57" i="10"/>
  <c r="D73" i="8"/>
  <c r="B74" i="8"/>
  <c r="G73" i="8"/>
  <c r="F73" i="8"/>
  <c r="B162" i="8"/>
  <c r="D161" i="8"/>
  <c r="G161" i="8"/>
  <c r="F161" i="8"/>
  <c r="C59" i="10" l="1"/>
  <c r="E58" i="10"/>
  <c r="B75" i="8"/>
  <c r="D74" i="8"/>
  <c r="G74" i="8"/>
  <c r="F74" i="8"/>
  <c r="B163" i="8"/>
  <c r="D162" i="8"/>
  <c r="F162" i="8"/>
  <c r="G162" i="8"/>
  <c r="C60" i="10" l="1"/>
  <c r="E59" i="10"/>
  <c r="D75" i="8"/>
  <c r="B76" i="8"/>
  <c r="F75" i="8"/>
  <c r="G75" i="8"/>
  <c r="B164" i="8"/>
  <c r="D163" i="8"/>
  <c r="F163" i="8"/>
  <c r="G163" i="8"/>
  <c r="C61" i="10" l="1"/>
  <c r="E60" i="10"/>
  <c r="D76" i="8"/>
  <c r="B77" i="8"/>
  <c r="F76" i="8"/>
  <c r="G76" i="8"/>
  <c r="B165" i="8"/>
  <c r="F164" i="8"/>
  <c r="G164" i="8"/>
  <c r="D164" i="8"/>
  <c r="C62" i="10" l="1"/>
  <c r="E61" i="10"/>
  <c r="D77" i="8"/>
  <c r="G77" i="8"/>
  <c r="B78" i="8"/>
  <c r="F77" i="8"/>
  <c r="B166" i="8"/>
  <c r="D165" i="8"/>
  <c r="G165" i="8"/>
  <c r="F165" i="8"/>
  <c r="C63" i="10" l="1"/>
  <c r="E62" i="10"/>
  <c r="B79" i="8"/>
  <c r="D78" i="8"/>
  <c r="G78" i="8"/>
  <c r="F78" i="8"/>
  <c r="B167" i="8"/>
  <c r="F166" i="8"/>
  <c r="D166" i="8"/>
  <c r="G166" i="8"/>
  <c r="C64" i="10" l="1"/>
  <c r="E63" i="10"/>
  <c r="D79" i="8"/>
  <c r="B80" i="8"/>
  <c r="F79" i="8"/>
  <c r="G79" i="8"/>
  <c r="D167" i="8"/>
  <c r="B168" i="8"/>
  <c r="F167" i="8"/>
  <c r="G167" i="8"/>
  <c r="C65" i="10" l="1"/>
  <c r="E64" i="10"/>
  <c r="D80" i="8"/>
  <c r="B81" i="8"/>
  <c r="F80" i="8"/>
  <c r="G80" i="8"/>
  <c r="B169" i="8"/>
  <c r="D168" i="8"/>
  <c r="F168" i="8"/>
  <c r="G168" i="8"/>
  <c r="C66" i="10" l="1"/>
  <c r="E65" i="10"/>
  <c r="D81" i="8"/>
  <c r="G81" i="8"/>
  <c r="B82" i="8"/>
  <c r="F81" i="8"/>
  <c r="B170" i="8"/>
  <c r="D169" i="8"/>
  <c r="G169" i="8"/>
  <c r="F169" i="8"/>
  <c r="C67" i="10" l="1"/>
  <c r="E66" i="10"/>
  <c r="B83" i="8"/>
  <c r="D82" i="8"/>
  <c r="G82" i="8"/>
  <c r="F82" i="8"/>
  <c r="B171" i="8"/>
  <c r="D170" i="8"/>
  <c r="F170" i="8"/>
  <c r="G170" i="8"/>
  <c r="C68" i="10" l="1"/>
  <c r="E67" i="10"/>
  <c r="D83" i="8"/>
  <c r="B84" i="8"/>
  <c r="F83" i="8"/>
  <c r="G83" i="8"/>
  <c r="D171" i="8"/>
  <c r="F171" i="8"/>
  <c r="G171" i="8"/>
  <c r="B172" i="8"/>
  <c r="C69" i="10" l="1"/>
  <c r="E68" i="10"/>
  <c r="D84" i="8"/>
  <c r="B85" i="8"/>
  <c r="F84" i="8"/>
  <c r="G84" i="8"/>
  <c r="B173" i="8"/>
  <c r="D172" i="8"/>
  <c r="G172" i="8"/>
  <c r="F172" i="8"/>
  <c r="C70" i="10" l="1"/>
  <c r="E69" i="10"/>
  <c r="D85" i="8"/>
  <c r="G85" i="8"/>
  <c r="B86" i="8"/>
  <c r="F85" i="8"/>
  <c r="B174" i="8"/>
  <c r="D173" i="8"/>
  <c r="F173" i="8"/>
  <c r="G173" i="8"/>
  <c r="C71" i="10" l="1"/>
  <c r="E70" i="10"/>
  <c r="B87" i="8"/>
  <c r="D86" i="8"/>
  <c r="G86" i="8"/>
  <c r="F86" i="8"/>
  <c r="B175" i="8"/>
  <c r="D174" i="8"/>
  <c r="F174" i="8"/>
  <c r="G174" i="8"/>
  <c r="C72" i="10" l="1"/>
  <c r="E71" i="10"/>
  <c r="D87" i="8"/>
  <c r="B88" i="8"/>
  <c r="F87" i="8"/>
  <c r="G87" i="8"/>
  <c r="D175" i="8"/>
  <c r="F175" i="8"/>
  <c r="B176" i="8"/>
  <c r="G175" i="8"/>
  <c r="C73" i="10" l="1"/>
  <c r="E72" i="10"/>
  <c r="D88" i="8"/>
  <c r="B89" i="8"/>
  <c r="F88" i="8"/>
  <c r="G88" i="8"/>
  <c r="B177" i="8"/>
  <c r="F176" i="8"/>
  <c r="G176" i="8"/>
  <c r="D176" i="8"/>
  <c r="C74" i="10" l="1"/>
  <c r="E73" i="10"/>
  <c r="D89" i="8"/>
  <c r="B90" i="8"/>
  <c r="G89" i="8"/>
  <c r="F89" i="8"/>
  <c r="B178" i="8"/>
  <c r="D177" i="8"/>
  <c r="G177" i="8"/>
  <c r="F177" i="8"/>
  <c r="C75" i="10" l="1"/>
  <c r="E74" i="10"/>
  <c r="B91" i="8"/>
  <c r="D90" i="8"/>
  <c r="G90" i="8"/>
  <c r="F90" i="8"/>
  <c r="B179" i="8"/>
  <c r="F178" i="8"/>
  <c r="G178" i="8"/>
  <c r="D178" i="8"/>
  <c r="C76" i="10" l="1"/>
  <c r="E75" i="10"/>
  <c r="D91" i="8"/>
  <c r="B92" i="8"/>
  <c r="F91" i="8"/>
  <c r="G91" i="8"/>
  <c r="B180" i="8"/>
  <c r="D179" i="8"/>
  <c r="F179" i="8"/>
  <c r="G179" i="8"/>
  <c r="C77" i="10" l="1"/>
  <c r="E76" i="10"/>
  <c r="D92" i="8"/>
  <c r="B93" i="8"/>
  <c r="F92" i="8"/>
  <c r="G92" i="8"/>
  <c r="B181" i="8"/>
  <c r="F180" i="8"/>
  <c r="D180" i="8"/>
  <c r="G180" i="8"/>
  <c r="C78" i="10" l="1"/>
  <c r="E77" i="10"/>
  <c r="F93" i="8"/>
  <c r="B94" i="8"/>
  <c r="G93" i="8"/>
  <c r="D93" i="8"/>
  <c r="B182" i="8"/>
  <c r="D181" i="8"/>
  <c r="F181" i="8"/>
  <c r="G181" i="8"/>
  <c r="C79" i="10" l="1"/>
  <c r="E78" i="10"/>
  <c r="B95" i="8"/>
  <c r="F94" i="8"/>
  <c r="G94" i="8"/>
  <c r="D94" i="8"/>
  <c r="B183" i="8"/>
  <c r="F182" i="8"/>
  <c r="D182" i="8"/>
  <c r="G182" i="8"/>
  <c r="C80" i="10" l="1"/>
  <c r="E79" i="10"/>
  <c r="B96" i="8"/>
  <c r="F95" i="8"/>
  <c r="G95" i="8"/>
  <c r="D95" i="8"/>
  <c r="D183" i="8"/>
  <c r="B184" i="8"/>
  <c r="F183" i="8"/>
  <c r="G183" i="8"/>
  <c r="C81" i="10" l="1"/>
  <c r="E80" i="10"/>
  <c r="B97" i="8"/>
  <c r="F96" i="8"/>
  <c r="G96" i="8"/>
  <c r="D96" i="8"/>
  <c r="B185" i="8"/>
  <c r="F184" i="8"/>
  <c r="G184" i="8"/>
  <c r="D184" i="8"/>
  <c r="C82" i="10" l="1"/>
  <c r="E81" i="10"/>
  <c r="F97" i="8"/>
  <c r="G97" i="8"/>
  <c r="B98" i="8"/>
  <c r="D97" i="8"/>
  <c r="B186" i="8"/>
  <c r="D185" i="8"/>
  <c r="F185" i="8"/>
  <c r="G185" i="8"/>
  <c r="C83" i="10" l="1"/>
  <c r="E82" i="10"/>
  <c r="B99" i="8"/>
  <c r="F98" i="8"/>
  <c r="G98" i="8"/>
  <c r="D98" i="8"/>
  <c r="B187" i="8"/>
  <c r="F186" i="8"/>
  <c r="D186" i="8"/>
  <c r="G186" i="8"/>
  <c r="C84" i="10" l="1"/>
  <c r="E83" i="10"/>
  <c r="B100" i="8"/>
  <c r="F99" i="8"/>
  <c r="G99" i="8"/>
  <c r="D99" i="8"/>
  <c r="D187" i="8"/>
  <c r="B188" i="8"/>
  <c r="F187" i="8"/>
  <c r="G187" i="8"/>
  <c r="C85" i="10" l="1"/>
  <c r="E84" i="10"/>
  <c r="B101" i="8"/>
  <c r="F100" i="8"/>
  <c r="G100" i="8"/>
  <c r="D100" i="8"/>
  <c r="B189" i="8"/>
  <c r="D188" i="8"/>
  <c r="F188" i="8"/>
  <c r="G188" i="8"/>
  <c r="C86" i="10" l="1"/>
  <c r="E85" i="10"/>
  <c r="F101" i="8"/>
  <c r="G101" i="8"/>
  <c r="D101" i="8"/>
  <c r="B102" i="8"/>
  <c r="B190" i="8"/>
  <c r="D189" i="8"/>
  <c r="G189" i="8"/>
  <c r="F189" i="8"/>
  <c r="C87" i="10" l="1"/>
  <c r="E86" i="10"/>
  <c r="B103" i="8"/>
  <c r="F102" i="8"/>
  <c r="G102" i="8"/>
  <c r="D102" i="8"/>
  <c r="B191" i="8"/>
  <c r="F190" i="8"/>
  <c r="D190" i="8"/>
  <c r="G190" i="8"/>
  <c r="C88" i="10" l="1"/>
  <c r="E87" i="10"/>
  <c r="B104" i="8"/>
  <c r="F103" i="8"/>
  <c r="G103" i="8"/>
  <c r="D103" i="8"/>
  <c r="D191" i="8"/>
  <c r="F191" i="8"/>
  <c r="B192" i="8"/>
  <c r="G191" i="8"/>
  <c r="C89" i="10" l="1"/>
  <c r="E88" i="10"/>
  <c r="B105" i="8"/>
  <c r="F104" i="8"/>
  <c r="G104" i="8"/>
  <c r="D104" i="8"/>
  <c r="B193" i="8"/>
  <c r="F192" i="8"/>
  <c r="G192" i="8"/>
  <c r="D192" i="8"/>
  <c r="C90" i="10" l="1"/>
  <c r="E89" i="10"/>
  <c r="B106" i="8"/>
  <c r="F105" i="8"/>
  <c r="G105" i="8"/>
  <c r="D105" i="8"/>
  <c r="B194" i="8"/>
  <c r="D193" i="8"/>
  <c r="G193" i="8"/>
  <c r="F193" i="8"/>
  <c r="C91" i="10" l="1"/>
  <c r="E90" i="10"/>
  <c r="B107" i="8"/>
  <c r="F106" i="8"/>
  <c r="G106" i="8"/>
  <c r="D106" i="8"/>
  <c r="B195" i="8"/>
  <c r="F194" i="8"/>
  <c r="D194" i="8"/>
  <c r="G194" i="8"/>
  <c r="C92" i="10" l="1"/>
  <c r="E91" i="10"/>
  <c r="B108" i="8"/>
  <c r="F107" i="8"/>
  <c r="G107" i="8"/>
  <c r="D107" i="8"/>
  <c r="B196" i="8"/>
  <c r="D195" i="8"/>
  <c r="F195" i="8"/>
  <c r="G195" i="8"/>
  <c r="C93" i="10" l="1"/>
  <c r="E92" i="10"/>
  <c r="B109" i="8"/>
  <c r="F108" i="8"/>
  <c r="G108" i="8"/>
  <c r="D108" i="8"/>
  <c r="B197" i="8"/>
  <c r="F196" i="8"/>
  <c r="G196" i="8"/>
  <c r="D196" i="8"/>
  <c r="C94" i="10" l="1"/>
  <c r="E93" i="10"/>
  <c r="F109" i="8"/>
  <c r="B110" i="8"/>
  <c r="G109" i="8"/>
  <c r="D109" i="8"/>
  <c r="B198" i="8"/>
  <c r="F197" i="8"/>
  <c r="D197" i="8"/>
  <c r="G197" i="8"/>
  <c r="C95" i="10" l="1"/>
  <c r="E94" i="10"/>
  <c r="B111" i="8"/>
  <c r="D112" i="8" s="1"/>
  <c r="F110" i="8"/>
  <c r="G110" i="8"/>
  <c r="D110" i="8"/>
  <c r="B199" i="8"/>
  <c r="F198" i="8"/>
  <c r="G198" i="8"/>
  <c r="D198" i="8"/>
  <c r="C96" i="10" l="1"/>
  <c r="E95" i="10"/>
  <c r="B200" i="8"/>
  <c r="G199" i="8"/>
  <c r="F199" i="8"/>
  <c r="D199" i="8"/>
  <c r="C97" i="10" l="1"/>
  <c r="E96" i="10"/>
  <c r="B201" i="8"/>
  <c r="F200" i="8"/>
  <c r="D200" i="8"/>
  <c r="G200" i="8"/>
  <c r="E97" i="10" l="1"/>
  <c r="C98" i="10"/>
  <c r="B202" i="8"/>
  <c r="G201" i="8"/>
  <c r="F201" i="8"/>
  <c r="D201" i="8"/>
  <c r="C99" i="10" l="1"/>
  <c r="E98" i="10"/>
  <c r="B203" i="8"/>
  <c r="F202" i="8"/>
  <c r="G202" i="8"/>
  <c r="D202" i="8"/>
  <c r="C100" i="10" l="1"/>
  <c r="E99" i="10"/>
  <c r="B204" i="8"/>
  <c r="F203" i="8"/>
  <c r="G203" i="8"/>
  <c r="D203" i="8"/>
  <c r="C101" i="10" l="1"/>
  <c r="E100" i="10"/>
  <c r="B205" i="8"/>
  <c r="F204" i="8"/>
  <c r="G204" i="8"/>
  <c r="D204" i="8"/>
  <c r="E101" i="10" l="1"/>
  <c r="B206" i="8"/>
  <c r="G205" i="8"/>
  <c r="F205" i="8"/>
  <c r="D205" i="8"/>
  <c r="B207" i="8" l="1"/>
  <c r="F206" i="8"/>
  <c r="G206" i="8"/>
  <c r="D206" i="8"/>
  <c r="F207" i="8" l="1"/>
  <c r="B208" i="8"/>
  <c r="G207" i="8"/>
  <c r="D207" i="8"/>
  <c r="C105" i="10" l="1"/>
  <c r="B209" i="8"/>
  <c r="G208" i="8"/>
  <c r="D208" i="8"/>
  <c r="F208" i="8"/>
  <c r="C106" i="10" l="1"/>
  <c r="E105" i="10"/>
  <c r="B210" i="8"/>
  <c r="F209" i="8"/>
  <c r="G209" i="8"/>
  <c r="D209" i="8"/>
  <c r="C107" i="10" l="1"/>
  <c r="E106" i="10"/>
  <c r="B211" i="8"/>
  <c r="F210" i="8"/>
  <c r="G210" i="8"/>
  <c r="D210" i="8"/>
  <c r="C108" i="10" l="1"/>
  <c r="E107" i="10"/>
  <c r="B212" i="8"/>
  <c r="G211" i="8"/>
  <c r="F211" i="8"/>
  <c r="D211" i="8"/>
  <c r="C109" i="10" l="1"/>
  <c r="E108" i="10"/>
  <c r="B213" i="8"/>
  <c r="F212" i="8"/>
  <c r="G212" i="8"/>
  <c r="D212" i="8"/>
  <c r="C110" i="10" l="1"/>
  <c r="E109" i="10"/>
  <c r="B214" i="8"/>
  <c r="F213" i="8"/>
  <c r="G213" i="8"/>
  <c r="D213" i="8"/>
  <c r="C111" i="10" l="1"/>
  <c r="E110" i="10"/>
  <c r="B215" i="8"/>
  <c r="G214" i="8"/>
  <c r="F214" i="8"/>
  <c r="D214" i="8"/>
  <c r="C112" i="10" l="1"/>
  <c r="E111" i="10"/>
  <c r="B216" i="8"/>
  <c r="F215" i="8"/>
  <c r="G215" i="8"/>
  <c r="D215" i="8"/>
  <c r="C113" i="10" l="1"/>
  <c r="E112" i="10"/>
  <c r="B217" i="8"/>
  <c r="F216" i="8"/>
  <c r="G216" i="8"/>
  <c r="D216" i="8"/>
  <c r="E113" i="10" l="1"/>
  <c r="C114" i="10"/>
  <c r="B218" i="8"/>
  <c r="F217" i="8"/>
  <c r="G217" i="8"/>
  <c r="D217" i="8"/>
  <c r="C115" i="10" l="1"/>
  <c r="E114" i="10"/>
  <c r="B219" i="8"/>
  <c r="G218" i="8"/>
  <c r="F218" i="8"/>
  <c r="D218" i="8"/>
  <c r="C116" i="10" l="1"/>
  <c r="E115" i="10"/>
  <c r="B220" i="8"/>
  <c r="F219" i="8"/>
  <c r="G219" i="8"/>
  <c r="D219" i="8"/>
  <c r="C117" i="10" l="1"/>
  <c r="E116" i="10"/>
  <c r="B221" i="8"/>
  <c r="G220" i="8"/>
  <c r="D220" i="8"/>
  <c r="F220" i="8"/>
  <c r="C118" i="10" l="1"/>
  <c r="E117" i="10"/>
  <c r="B222" i="8"/>
  <c r="F221" i="8"/>
  <c r="G221" i="8"/>
  <c r="D221" i="8"/>
  <c r="C119" i="10" l="1"/>
  <c r="E118" i="10"/>
  <c r="B223" i="8"/>
  <c r="F222" i="8"/>
  <c r="G222" i="8"/>
  <c r="D222" i="8"/>
  <c r="C120" i="10" l="1"/>
  <c r="E119" i="10"/>
  <c r="F223" i="8"/>
  <c r="G223" i="8"/>
  <c r="D223" i="8"/>
  <c r="B224" i="8"/>
  <c r="C121" i="10" l="1"/>
  <c r="E120" i="10"/>
  <c r="B225" i="8"/>
  <c r="G224" i="8"/>
  <c r="F224" i="8"/>
  <c r="D224" i="8"/>
  <c r="C122" i="10" l="1"/>
  <c r="E121" i="10"/>
  <c r="B226" i="8"/>
  <c r="F225" i="8"/>
  <c r="D225" i="8"/>
  <c r="G225" i="8"/>
  <c r="C123" i="10" l="1"/>
  <c r="E122" i="10"/>
  <c r="B227" i="8"/>
  <c r="F226" i="8"/>
  <c r="G226" i="8"/>
  <c r="D226" i="8"/>
  <c r="C124" i="10" l="1"/>
  <c r="E123" i="10"/>
  <c r="B228" i="8"/>
  <c r="G227" i="8"/>
  <c r="D227" i="8"/>
  <c r="F227" i="8"/>
  <c r="C125" i="10" l="1"/>
  <c r="E124" i="10"/>
  <c r="B229" i="8"/>
  <c r="F228" i="8"/>
  <c r="G228" i="8"/>
  <c r="D228" i="8"/>
  <c r="C126" i="10" l="1"/>
  <c r="E125" i="10"/>
  <c r="B230" i="8"/>
  <c r="G229" i="8"/>
  <c r="F229" i="8"/>
  <c r="D229" i="8"/>
  <c r="C127" i="10" l="1"/>
  <c r="E126" i="10"/>
  <c r="B231" i="8"/>
  <c r="G230" i="8"/>
  <c r="F230" i="8"/>
  <c r="D230" i="8"/>
  <c r="C128" i="10" l="1"/>
  <c r="E127" i="10"/>
  <c r="B232" i="8"/>
  <c r="F231" i="8"/>
  <c r="D231" i="8"/>
  <c r="G231" i="8"/>
  <c r="C129" i="10" l="1"/>
  <c r="E128" i="10"/>
  <c r="B233" i="8"/>
  <c r="F232" i="8"/>
  <c r="G232" i="8"/>
  <c r="D232" i="8"/>
  <c r="C130" i="10" l="1"/>
  <c r="E129" i="10"/>
  <c r="B234" i="8"/>
  <c r="F233" i="8"/>
  <c r="D233" i="8"/>
  <c r="G233" i="8"/>
  <c r="C131" i="10" l="1"/>
  <c r="E130" i="10"/>
  <c r="B235" i="8"/>
  <c r="F234" i="8"/>
  <c r="G234" i="8"/>
  <c r="D234" i="8"/>
  <c r="C132" i="10" l="1"/>
  <c r="E131" i="10"/>
  <c r="B236" i="8"/>
  <c r="F235" i="8"/>
  <c r="G235" i="8"/>
  <c r="D235" i="8"/>
  <c r="C133" i="10" l="1"/>
  <c r="E132" i="10"/>
  <c r="B237" i="8"/>
  <c r="F236" i="8"/>
  <c r="G236" i="8"/>
  <c r="D236" i="8"/>
  <c r="C134" i="10" l="1"/>
  <c r="E133" i="10"/>
  <c r="B238" i="8"/>
  <c r="F237" i="8"/>
  <c r="G237" i="8"/>
  <c r="D237" i="8"/>
  <c r="C135" i="10" l="1"/>
  <c r="E134" i="10"/>
  <c r="B239" i="8"/>
  <c r="F238" i="8"/>
  <c r="D238" i="8"/>
  <c r="G238" i="8"/>
  <c r="C136" i="10" l="1"/>
  <c r="E135" i="10"/>
  <c r="B240" i="8"/>
  <c r="D239" i="8"/>
  <c r="F239" i="8"/>
  <c r="G239" i="8"/>
  <c r="C137" i="10" l="1"/>
  <c r="E136" i="10"/>
  <c r="B241" i="8"/>
  <c r="F240" i="8"/>
  <c r="G240" i="8"/>
  <c r="D240" i="8"/>
  <c r="C138" i="10" l="1"/>
  <c r="E137" i="10"/>
  <c r="B242" i="8"/>
  <c r="F241" i="8"/>
  <c r="D241" i="8"/>
  <c r="G241" i="8"/>
  <c r="C139" i="10" l="1"/>
  <c r="E138" i="10"/>
  <c r="B243" i="8"/>
  <c r="F242" i="8"/>
  <c r="D242" i="8"/>
  <c r="G242" i="8"/>
  <c r="C140" i="10" l="1"/>
  <c r="E139" i="10"/>
  <c r="B244" i="8"/>
  <c r="F243" i="8"/>
  <c r="G243" i="8"/>
  <c r="D243" i="8"/>
  <c r="C141" i="10" l="1"/>
  <c r="E140" i="10"/>
  <c r="B245" i="8"/>
  <c r="F244" i="8"/>
  <c r="D244" i="8"/>
  <c r="G244" i="8"/>
  <c r="C142" i="10" l="1"/>
  <c r="E141" i="10"/>
  <c r="B246" i="8"/>
  <c r="F245" i="8"/>
  <c r="G245" i="8"/>
  <c r="D245" i="8"/>
  <c r="C143" i="10" l="1"/>
  <c r="E142" i="10"/>
  <c r="B247" i="8"/>
  <c r="F246" i="8"/>
  <c r="D246" i="8"/>
  <c r="G246" i="8"/>
  <c r="C144" i="10" l="1"/>
  <c r="E143" i="10"/>
  <c r="B248" i="8"/>
  <c r="F247" i="8"/>
  <c r="G247" i="8"/>
  <c r="D247" i="8"/>
  <c r="C145" i="10" l="1"/>
  <c r="E144" i="10"/>
  <c r="B249" i="8"/>
  <c r="D248" i="8"/>
  <c r="F248" i="8"/>
  <c r="G248" i="8"/>
  <c r="C146" i="10" l="1"/>
  <c r="E145" i="10"/>
  <c r="B250" i="8"/>
  <c r="D249" i="8"/>
  <c r="F249" i="8"/>
  <c r="G249" i="8"/>
  <c r="C147" i="10" l="1"/>
  <c r="E146" i="10"/>
  <c r="B251" i="8"/>
  <c r="F250" i="8"/>
  <c r="D250" i="8"/>
  <c r="G250" i="8"/>
  <c r="C148" i="10" l="1"/>
  <c r="E147" i="10"/>
  <c r="B252" i="8"/>
  <c r="F251" i="8"/>
  <c r="D251" i="8"/>
  <c r="G251" i="8"/>
  <c r="C149" i="10" l="1"/>
  <c r="E148" i="10"/>
  <c r="B253" i="8"/>
  <c r="F252" i="8"/>
  <c r="G252" i="8"/>
  <c r="D252" i="8"/>
  <c r="C150" i="10" l="1"/>
  <c r="E149" i="10"/>
  <c r="B254" i="8"/>
  <c r="F253" i="8"/>
  <c r="G253" i="8"/>
  <c r="D253" i="8"/>
  <c r="C151" i="10" l="1"/>
  <c r="E150" i="10"/>
  <c r="B255" i="8"/>
  <c r="F254" i="8"/>
  <c r="G254" i="8"/>
  <c r="D254" i="8"/>
  <c r="C152" i="10" l="1"/>
  <c r="E151" i="10"/>
  <c r="B256" i="8"/>
  <c r="D255" i="8"/>
  <c r="F255" i="8"/>
  <c r="G255" i="8"/>
  <c r="C153" i="10" l="1"/>
  <c r="E152" i="10"/>
  <c r="B257" i="8"/>
  <c r="F256" i="8"/>
  <c r="G256" i="8"/>
  <c r="D256" i="8"/>
  <c r="C154" i="10" l="1"/>
  <c r="E153" i="10"/>
  <c r="B258" i="8"/>
  <c r="F257" i="8"/>
  <c r="G257" i="8"/>
  <c r="D257" i="8"/>
  <c r="C155" i="10" l="1"/>
  <c r="E154" i="10"/>
  <c r="B259" i="8"/>
  <c r="D258" i="8"/>
  <c r="F258" i="8"/>
  <c r="G258" i="8"/>
  <c r="C156" i="10" l="1"/>
  <c r="E155" i="10"/>
  <c r="B260" i="8"/>
  <c r="F259" i="8"/>
  <c r="G259" i="8"/>
  <c r="D259" i="8"/>
  <c r="C157" i="10" l="1"/>
  <c r="E156" i="10"/>
  <c r="B261" i="8"/>
  <c r="F260" i="8"/>
  <c r="G260" i="8"/>
  <c r="D260" i="8"/>
  <c r="C158" i="10" l="1"/>
  <c r="E157" i="10"/>
  <c r="B262" i="8"/>
  <c r="F261" i="8"/>
  <c r="G261" i="8"/>
  <c r="D261" i="8"/>
  <c r="C159" i="10" l="1"/>
  <c r="E158" i="10"/>
  <c r="B263" i="8"/>
  <c r="F262" i="8"/>
  <c r="D262" i="8"/>
  <c r="G262" i="8"/>
  <c r="E159" i="10" l="1"/>
  <c r="C160" i="10"/>
  <c r="B264" i="8"/>
  <c r="F263" i="8"/>
  <c r="G263" i="8"/>
  <c r="D263" i="8"/>
  <c r="C161" i="10" l="1"/>
  <c r="E160" i="10"/>
  <c r="B265" i="8"/>
  <c r="F264" i="8"/>
  <c r="G264" i="8"/>
  <c r="D264" i="8"/>
  <c r="C162" i="10" l="1"/>
  <c r="E161" i="10"/>
  <c r="B266" i="8"/>
  <c r="F265" i="8"/>
  <c r="G265" i="8"/>
  <c r="D265" i="8"/>
  <c r="E162" i="10" l="1"/>
  <c r="C163" i="10"/>
  <c r="B267" i="8"/>
  <c r="F266" i="8"/>
  <c r="G266" i="8"/>
  <c r="D266" i="8"/>
  <c r="C164" i="10" l="1"/>
  <c r="E163" i="10"/>
  <c r="B268" i="8"/>
  <c r="F267" i="8"/>
  <c r="G267" i="8"/>
  <c r="D267" i="8"/>
  <c r="C165" i="10" l="1"/>
  <c r="E164" i="10"/>
  <c r="B269" i="8"/>
  <c r="F268" i="8"/>
  <c r="G268" i="8"/>
  <c r="D268" i="8"/>
  <c r="C166" i="10" l="1"/>
  <c r="E165" i="10"/>
  <c r="B270" i="8"/>
  <c r="D269" i="8"/>
  <c r="F269" i="8"/>
  <c r="G269" i="8"/>
  <c r="C167" i="10" l="1"/>
  <c r="E166" i="10"/>
  <c r="B271" i="8"/>
  <c r="D270" i="8"/>
  <c r="F270" i="8"/>
  <c r="G270" i="8"/>
  <c r="C168" i="10" l="1"/>
  <c r="E167" i="10"/>
  <c r="F271" i="8"/>
  <c r="B272" i="8"/>
  <c r="G271" i="8"/>
  <c r="D271" i="8"/>
  <c r="C169" i="10" l="1"/>
  <c r="E168" i="10"/>
  <c r="B273" i="8"/>
  <c r="F272" i="8"/>
  <c r="G272" i="8"/>
  <c r="D272" i="8"/>
  <c r="C170" i="10" l="1"/>
  <c r="E169" i="10"/>
  <c r="B274" i="8"/>
  <c r="F273" i="8"/>
  <c r="G273" i="8"/>
  <c r="D273" i="8"/>
  <c r="C171" i="10" l="1"/>
  <c r="E170" i="10"/>
  <c r="B275" i="8"/>
  <c r="F274" i="8"/>
  <c r="D274" i="8"/>
  <c r="G274" i="8"/>
  <c r="C172" i="10" l="1"/>
  <c r="E171" i="10"/>
  <c r="B276" i="8"/>
  <c r="F275" i="8"/>
  <c r="G275" i="8"/>
  <c r="D275" i="8"/>
  <c r="E172" i="10" l="1"/>
  <c r="C173" i="10"/>
  <c r="B277" i="8"/>
  <c r="F276" i="8"/>
  <c r="G276" i="8"/>
  <c r="D276" i="8"/>
  <c r="E173" i="10" l="1"/>
  <c r="C174" i="10"/>
  <c r="B278" i="8"/>
  <c r="F277" i="8"/>
  <c r="G277" i="8"/>
  <c r="D277" i="8"/>
  <c r="C175" i="10" l="1"/>
  <c r="E174" i="10"/>
  <c r="B279" i="8"/>
  <c r="F278" i="8"/>
  <c r="D278" i="8"/>
  <c r="G278" i="8"/>
  <c r="C176" i="10" l="1"/>
  <c r="E175" i="10"/>
  <c r="B280" i="8"/>
  <c r="F279" i="8"/>
  <c r="D279" i="8"/>
  <c r="G279" i="8"/>
  <c r="C177" i="10" l="1"/>
  <c r="E176" i="10"/>
  <c r="B281" i="8"/>
  <c r="F280" i="8"/>
  <c r="G280" i="8"/>
  <c r="D280" i="8"/>
  <c r="E177" i="10" l="1"/>
  <c r="C178" i="10"/>
  <c r="B282" i="8"/>
  <c r="F281" i="8"/>
  <c r="D281" i="8"/>
  <c r="G281" i="8"/>
  <c r="E178" i="10" l="1"/>
  <c r="C179" i="10"/>
  <c r="B283" i="8"/>
  <c r="F282" i="8"/>
  <c r="G282" i="8"/>
  <c r="D282" i="8"/>
  <c r="E179" i="10" l="1"/>
  <c r="C180" i="10"/>
  <c r="B284" i="8"/>
  <c r="F283" i="8"/>
  <c r="G283" i="8"/>
  <c r="D283" i="8"/>
  <c r="C181" i="10" l="1"/>
  <c r="E180" i="10"/>
  <c r="B285" i="8"/>
  <c r="D284" i="8"/>
  <c r="F284" i="8"/>
  <c r="G284" i="8"/>
  <c r="E181" i="10" l="1"/>
  <c r="C182" i="10"/>
  <c r="B286" i="8"/>
  <c r="F285" i="8"/>
  <c r="G285" i="8"/>
  <c r="D285" i="8"/>
  <c r="E182" i="10" l="1"/>
  <c r="C183" i="10"/>
  <c r="B287" i="8"/>
  <c r="F286" i="8"/>
  <c r="D286" i="8"/>
  <c r="G286" i="8"/>
  <c r="C184" i="10" l="1"/>
  <c r="E183" i="10"/>
  <c r="F287" i="8"/>
  <c r="G287" i="8"/>
  <c r="B288" i="8"/>
  <c r="D287" i="8"/>
  <c r="E184" i="10" l="1"/>
  <c r="C185" i="10"/>
  <c r="B289" i="8"/>
  <c r="F288" i="8"/>
  <c r="D288" i="8"/>
  <c r="G288" i="8"/>
  <c r="E185" i="10" l="1"/>
  <c r="C186" i="10"/>
  <c r="B290" i="8"/>
  <c r="F289" i="8"/>
  <c r="D289" i="8"/>
  <c r="G289" i="8"/>
  <c r="E186" i="10" l="1"/>
  <c r="C187" i="10"/>
  <c r="B291" i="8"/>
  <c r="F290" i="8"/>
  <c r="G290" i="8"/>
  <c r="D290" i="8"/>
  <c r="E187" i="10" l="1"/>
  <c r="C188" i="10"/>
  <c r="B292" i="8"/>
  <c r="F291" i="8"/>
  <c r="G291" i="8"/>
  <c r="D291" i="8"/>
  <c r="C189" i="10" l="1"/>
  <c r="E188" i="10"/>
  <c r="B293" i="8"/>
  <c r="F292" i="8"/>
  <c r="D292" i="8"/>
  <c r="G292" i="8"/>
  <c r="C190" i="10" l="1"/>
  <c r="E189" i="10"/>
  <c r="B294" i="8"/>
  <c r="F293" i="8"/>
  <c r="G293" i="8"/>
  <c r="D293" i="8"/>
  <c r="E190" i="10" l="1"/>
  <c r="C191" i="10"/>
  <c r="B295" i="8"/>
  <c r="F294" i="8"/>
  <c r="D294" i="8"/>
  <c r="G294" i="8"/>
  <c r="C192" i="10" l="1"/>
  <c r="E191" i="10"/>
  <c r="B296" i="8"/>
  <c r="F295" i="8"/>
  <c r="D295" i="8"/>
  <c r="G295" i="8"/>
  <c r="C193" i="10" l="1"/>
  <c r="E192" i="10"/>
  <c r="B297" i="8"/>
  <c r="F296" i="8"/>
  <c r="D296" i="8"/>
  <c r="G296" i="8"/>
  <c r="E193" i="10" l="1"/>
  <c r="C194" i="10"/>
  <c r="B298" i="8"/>
  <c r="F297" i="8"/>
  <c r="D297" i="8"/>
  <c r="G297" i="8"/>
  <c r="C195" i="10" l="1"/>
  <c r="E194" i="10"/>
  <c r="B299" i="8"/>
  <c r="F298" i="8"/>
  <c r="D298" i="8"/>
  <c r="G298" i="8"/>
  <c r="C196" i="10" l="1"/>
  <c r="E195" i="10"/>
  <c r="B300" i="8"/>
  <c r="F299" i="8"/>
  <c r="G299" i="8"/>
  <c r="D299" i="8"/>
  <c r="C197" i="10" l="1"/>
  <c r="E196" i="10"/>
  <c r="B301" i="8"/>
  <c r="F300" i="8"/>
  <c r="D300" i="8"/>
  <c r="G300" i="8"/>
  <c r="C198" i="10" l="1"/>
  <c r="E197" i="10"/>
  <c r="B302" i="8"/>
  <c r="F301" i="8"/>
  <c r="D301" i="8"/>
  <c r="G301" i="8"/>
  <c r="C199" i="10" l="1"/>
  <c r="E198" i="10"/>
  <c r="B303" i="8"/>
  <c r="F302" i="8"/>
  <c r="G302" i="8"/>
  <c r="D302" i="8"/>
  <c r="E199" i="10" l="1"/>
  <c r="C200" i="10"/>
  <c r="B304" i="8"/>
  <c r="D303" i="8"/>
  <c r="F303" i="8"/>
  <c r="G303" i="8"/>
  <c r="C201" i="10" l="1"/>
  <c r="E200" i="10"/>
  <c r="B305" i="8"/>
  <c r="F304" i="8"/>
  <c r="D304" i="8"/>
  <c r="G304" i="8"/>
  <c r="E201" i="10" l="1"/>
  <c r="C202" i="10"/>
  <c r="B306" i="8"/>
  <c r="F305" i="8"/>
  <c r="G305" i="8"/>
  <c r="D305" i="8"/>
  <c r="C203" i="10" l="1"/>
  <c r="E202" i="10"/>
  <c r="B307" i="8"/>
  <c r="F306" i="8"/>
  <c r="D306" i="8"/>
  <c r="G306" i="8"/>
  <c r="C204" i="10" l="1"/>
  <c r="E203" i="10"/>
  <c r="B308" i="8"/>
  <c r="F307" i="8"/>
  <c r="D307" i="8"/>
  <c r="G307" i="8"/>
  <c r="C205" i="10" l="1"/>
  <c r="E204" i="10"/>
  <c r="B309" i="8"/>
  <c r="F308" i="8"/>
  <c r="D308" i="8"/>
  <c r="G308" i="8"/>
  <c r="C206" i="10" l="1"/>
  <c r="E205" i="10"/>
  <c r="B310" i="8"/>
  <c r="F309" i="8"/>
  <c r="D309" i="8"/>
  <c r="G309" i="8"/>
  <c r="C207" i="10" l="1"/>
  <c r="E206" i="10"/>
  <c r="B311" i="8"/>
  <c r="F310" i="8"/>
  <c r="D310" i="8"/>
  <c r="G310" i="8"/>
  <c r="C208" i="10" l="1"/>
  <c r="E207" i="10"/>
  <c r="B312" i="8"/>
  <c r="F311" i="8"/>
  <c r="G311" i="8"/>
  <c r="D311" i="8"/>
  <c r="C209" i="10" l="1"/>
  <c r="E208" i="10"/>
  <c r="B313" i="8"/>
  <c r="F312" i="8"/>
  <c r="D312" i="8"/>
  <c r="G312" i="8"/>
  <c r="E209" i="10" l="1"/>
  <c r="C210" i="10"/>
  <c r="B314" i="8"/>
  <c r="D313" i="8"/>
  <c r="F313" i="8"/>
  <c r="G313" i="8"/>
  <c r="C211" i="10" l="1"/>
  <c r="E210" i="10"/>
  <c r="B315" i="8"/>
  <c r="F314" i="8"/>
  <c r="D314" i="8"/>
  <c r="G314" i="8"/>
  <c r="C212" i="10" l="1"/>
  <c r="E211" i="10"/>
  <c r="B316" i="8"/>
  <c r="F315" i="8"/>
  <c r="D315" i="8"/>
  <c r="G315" i="8"/>
  <c r="C213" i="10" l="1"/>
  <c r="E212" i="10"/>
  <c r="B317" i="8"/>
  <c r="F316" i="8"/>
  <c r="D316" i="8"/>
  <c r="G316" i="8"/>
  <c r="C214" i="10" l="1"/>
  <c r="E213" i="10"/>
  <c r="B318" i="8"/>
  <c r="F317" i="8"/>
  <c r="G317" i="8"/>
  <c r="D317" i="8"/>
  <c r="C215" i="10" l="1"/>
  <c r="E214" i="10"/>
  <c r="B319" i="8"/>
  <c r="F318" i="8"/>
  <c r="D318" i="8"/>
  <c r="G318" i="8"/>
  <c r="C216" i="10" l="1"/>
  <c r="E215" i="10"/>
  <c r="B320" i="8"/>
  <c r="F319" i="8"/>
  <c r="G319" i="8"/>
  <c r="D319" i="8"/>
  <c r="C217" i="10" l="1"/>
  <c r="E216" i="10"/>
  <c r="B321" i="8"/>
  <c r="F320" i="8"/>
  <c r="D320" i="8"/>
  <c r="G320" i="8"/>
  <c r="E217" i="10" l="1"/>
  <c r="C218" i="10"/>
  <c r="B322" i="8"/>
  <c r="F321" i="8"/>
  <c r="G321" i="8"/>
  <c r="D321" i="8"/>
  <c r="C219" i="10" l="1"/>
  <c r="E218" i="10"/>
  <c r="B323" i="8"/>
  <c r="F322" i="8"/>
  <c r="G322" i="8"/>
  <c r="D322" i="8"/>
  <c r="C220" i="10" l="1"/>
  <c r="E219" i="10"/>
  <c r="B324" i="8"/>
  <c r="F323" i="8"/>
  <c r="D323" i="8"/>
  <c r="G323" i="8"/>
  <c r="C221" i="10" l="1"/>
  <c r="E220" i="10"/>
  <c r="B325" i="8"/>
  <c r="F324" i="8"/>
  <c r="D324" i="8"/>
  <c r="G324" i="8"/>
  <c r="E221" i="10" l="1"/>
  <c r="C222" i="10"/>
  <c r="B326" i="8"/>
  <c r="F325" i="8"/>
  <c r="D325" i="8"/>
  <c r="G325" i="8"/>
  <c r="C223" i="10" l="1"/>
  <c r="E222" i="10"/>
  <c r="B327" i="8"/>
  <c r="F326" i="8"/>
  <c r="D326" i="8"/>
  <c r="G326" i="8"/>
  <c r="C224" i="10" l="1"/>
  <c r="E223" i="10"/>
  <c r="B328" i="8"/>
  <c r="F327" i="8"/>
  <c r="D327" i="8"/>
  <c r="G327" i="8"/>
  <c r="C225" i="10" l="1"/>
  <c r="E224" i="10"/>
  <c r="B329" i="8"/>
  <c r="F328" i="8"/>
  <c r="D328" i="8"/>
  <c r="G328" i="8"/>
  <c r="E225" i="10" l="1"/>
  <c r="C226" i="10"/>
  <c r="B330" i="8"/>
  <c r="F329" i="8"/>
  <c r="D329" i="8"/>
  <c r="G329" i="8"/>
  <c r="C227" i="10" l="1"/>
  <c r="E226" i="10"/>
  <c r="B331" i="8"/>
  <c r="F330" i="8"/>
  <c r="D330" i="8"/>
  <c r="G330" i="8"/>
  <c r="C228" i="10" l="1"/>
  <c r="E227" i="10"/>
  <c r="B332" i="8"/>
  <c r="F331" i="8"/>
  <c r="D331" i="8"/>
  <c r="G331" i="8"/>
  <c r="C229" i="10" l="1"/>
  <c r="E228" i="10"/>
  <c r="B333" i="8"/>
  <c r="F332" i="8"/>
  <c r="D332" i="8"/>
  <c r="G332" i="8"/>
  <c r="C230" i="10" l="1"/>
  <c r="E229" i="10"/>
  <c r="B334" i="8"/>
  <c r="F333" i="8"/>
  <c r="D333" i="8"/>
  <c r="G333" i="8"/>
  <c r="C231" i="10" l="1"/>
  <c r="E230" i="10"/>
  <c r="B335" i="8"/>
  <c r="F334" i="8"/>
  <c r="D334" i="8"/>
  <c r="G334" i="8"/>
  <c r="C232" i="10" l="1"/>
  <c r="E231" i="10"/>
  <c r="B336" i="8"/>
  <c r="F335" i="8"/>
  <c r="D335" i="8"/>
  <c r="G335" i="8"/>
  <c r="C233" i="10" l="1"/>
  <c r="E232" i="10"/>
  <c r="B337" i="8"/>
  <c r="F336" i="8"/>
  <c r="D336" i="8"/>
  <c r="G336" i="8"/>
  <c r="E233" i="10" l="1"/>
  <c r="C234" i="10"/>
  <c r="B338" i="8"/>
  <c r="F337" i="8"/>
  <c r="D337" i="8"/>
  <c r="G337" i="8"/>
  <c r="C235" i="10" l="1"/>
  <c r="E234" i="10"/>
  <c r="B339" i="8"/>
  <c r="G338" i="8"/>
  <c r="F338" i="8"/>
  <c r="D338" i="8"/>
  <c r="C236" i="10" l="1"/>
  <c r="E235" i="10"/>
  <c r="B340" i="8"/>
  <c r="G339" i="8"/>
  <c r="D339" i="8"/>
  <c r="F339" i="8"/>
  <c r="C237" i="10" l="1"/>
  <c r="E236" i="10"/>
  <c r="B341" i="8"/>
  <c r="G340" i="8"/>
  <c r="F340" i="8"/>
  <c r="D340" i="8"/>
  <c r="E237" i="10" l="1"/>
  <c r="C238" i="10"/>
  <c r="B342" i="8"/>
  <c r="G341" i="8"/>
  <c r="D341" i="8"/>
  <c r="F341" i="8"/>
  <c r="C239" i="10" l="1"/>
  <c r="E238" i="10"/>
  <c r="B343" i="8"/>
  <c r="G342" i="8"/>
  <c r="F342" i="8"/>
  <c r="D342" i="8"/>
  <c r="C240" i="10" l="1"/>
  <c r="E239" i="10"/>
  <c r="B344" i="8"/>
  <c r="G343" i="8"/>
  <c r="F343" i="8"/>
  <c r="D343" i="8"/>
  <c r="C241" i="10" l="1"/>
  <c r="E240" i="10"/>
  <c r="B345" i="8"/>
  <c r="G344" i="8"/>
  <c r="F344" i="8"/>
  <c r="D344" i="8"/>
  <c r="E241" i="10" l="1"/>
  <c r="C242" i="10"/>
  <c r="B346" i="8"/>
  <c r="G345" i="8"/>
  <c r="D345" i="8"/>
  <c r="F345" i="8"/>
  <c r="C243" i="10" l="1"/>
  <c r="E242" i="10"/>
  <c r="B347" i="8"/>
  <c r="G346" i="8"/>
  <c r="F346" i="8"/>
  <c r="D346" i="8"/>
  <c r="C244" i="10" l="1"/>
  <c r="E243" i="10"/>
  <c r="B348" i="8"/>
  <c r="G347" i="8"/>
  <c r="F347" i="8"/>
  <c r="D347" i="8"/>
  <c r="C245" i="10" l="1"/>
  <c r="E244" i="10"/>
  <c r="B349" i="8"/>
  <c r="G348" i="8"/>
  <c r="F348" i="8"/>
  <c r="D348" i="8"/>
  <c r="C246" i="10" l="1"/>
  <c r="E245" i="10"/>
  <c r="B350" i="8"/>
  <c r="G349" i="8"/>
  <c r="F349" i="8"/>
  <c r="D349" i="8"/>
  <c r="C247" i="10" l="1"/>
  <c r="E246" i="10"/>
  <c r="B351" i="8"/>
  <c r="G350" i="8"/>
  <c r="F350" i="8"/>
  <c r="D350" i="8"/>
  <c r="C248" i="10" l="1"/>
  <c r="E247" i="10"/>
  <c r="B352" i="8"/>
  <c r="G351" i="8"/>
  <c r="F351" i="8"/>
  <c r="D351" i="8"/>
  <c r="C249" i="10" l="1"/>
  <c r="E248" i="10"/>
  <c r="B353" i="8"/>
  <c r="G352" i="8"/>
  <c r="F352" i="8"/>
  <c r="D352" i="8"/>
  <c r="E249" i="10" l="1"/>
  <c r="C250" i="10"/>
  <c r="B354" i="8"/>
  <c r="G353" i="8"/>
  <c r="F353" i="8"/>
  <c r="D353" i="8"/>
  <c r="C251" i="10" l="1"/>
  <c r="E250" i="10"/>
  <c r="B355" i="8"/>
  <c r="G354" i="8"/>
  <c r="D354" i="8"/>
  <c r="F354" i="8"/>
  <c r="C252" i="10" l="1"/>
  <c r="E251" i="10"/>
  <c r="B356" i="8"/>
  <c r="G355" i="8"/>
  <c r="F355" i="8"/>
  <c r="D355" i="8"/>
  <c r="C253" i="10" l="1"/>
  <c r="E252" i="10"/>
  <c r="B357" i="8"/>
  <c r="F356" i="8"/>
  <c r="G356" i="8"/>
  <c r="D356" i="8"/>
  <c r="E253" i="10" l="1"/>
  <c r="C254" i="10"/>
  <c r="B358" i="8"/>
  <c r="G357" i="8"/>
  <c r="F357" i="8"/>
  <c r="D357" i="8"/>
  <c r="C255" i="10" l="1"/>
  <c r="E254" i="10"/>
  <c r="B359" i="8"/>
  <c r="G358" i="8"/>
  <c r="D358" i="8"/>
  <c r="F358" i="8"/>
  <c r="C256" i="10" l="1"/>
  <c r="E255" i="10"/>
  <c r="B360" i="8"/>
  <c r="G359" i="8"/>
  <c r="F359" i="8"/>
  <c r="D359" i="8"/>
  <c r="C257" i="10" l="1"/>
  <c r="E256" i="10"/>
  <c r="B361" i="8"/>
  <c r="G360" i="8"/>
  <c r="F360" i="8"/>
  <c r="D360" i="8"/>
  <c r="E257" i="10" l="1"/>
  <c r="C258" i="10"/>
  <c r="B362" i="8"/>
  <c r="G361" i="8"/>
  <c r="D361" i="8"/>
  <c r="F361" i="8"/>
  <c r="C259" i="10" l="1"/>
  <c r="E258" i="10"/>
  <c r="B363" i="8"/>
  <c r="G362" i="8"/>
  <c r="D362" i="8"/>
  <c r="F362" i="8"/>
  <c r="C260" i="10" l="1"/>
  <c r="E259" i="10"/>
  <c r="B364" i="8"/>
  <c r="G363" i="8"/>
  <c r="F363" i="8"/>
  <c r="D363" i="8"/>
  <c r="C261" i="10" l="1"/>
  <c r="E260" i="10"/>
  <c r="B365" i="8"/>
  <c r="G364" i="8"/>
  <c r="F364" i="8"/>
  <c r="D364" i="8"/>
  <c r="C262" i="10" l="1"/>
  <c r="E261" i="10"/>
  <c r="B366" i="8"/>
  <c r="F365" i="8"/>
  <c r="G365" i="8"/>
  <c r="D365" i="8"/>
  <c r="C263" i="10" l="1"/>
  <c r="E262" i="10"/>
  <c r="B367" i="8"/>
  <c r="G366" i="8"/>
  <c r="F366" i="8"/>
  <c r="D366" i="8"/>
  <c r="C264" i="10" l="1"/>
  <c r="E263" i="10"/>
  <c r="B368" i="8"/>
  <c r="G367" i="8"/>
  <c r="F367" i="8"/>
  <c r="D367" i="8"/>
  <c r="C265" i="10" l="1"/>
  <c r="E264" i="10"/>
  <c r="B369" i="8"/>
  <c r="G368" i="8"/>
  <c r="F368" i="8"/>
  <c r="D368" i="8"/>
  <c r="E265" i="10" l="1"/>
  <c r="C266" i="10"/>
  <c r="B370" i="8"/>
  <c r="G369" i="8"/>
  <c r="F369" i="8"/>
  <c r="D369" i="8"/>
  <c r="C267" i="10" l="1"/>
  <c r="E266" i="10"/>
  <c r="B371" i="8"/>
  <c r="G370" i="8"/>
  <c r="F370" i="8"/>
  <c r="D370" i="8"/>
  <c r="C268" i="10" l="1"/>
  <c r="E267" i="10"/>
  <c r="B372" i="8"/>
  <c r="G371" i="8"/>
  <c r="D371" i="8"/>
  <c r="F371" i="8"/>
  <c r="C269" i="10" l="1"/>
  <c r="E268" i="10"/>
  <c r="B373" i="8"/>
  <c r="G372" i="8"/>
  <c r="F372" i="8"/>
  <c r="D372" i="8"/>
  <c r="E269" i="10" l="1"/>
  <c r="C270" i="10"/>
  <c r="B374" i="8"/>
  <c r="G373" i="8"/>
  <c r="F373" i="8"/>
  <c r="D373" i="8"/>
  <c r="C271" i="10" l="1"/>
  <c r="E270" i="10"/>
  <c r="B375" i="8"/>
  <c r="G374" i="8"/>
  <c r="F374" i="8"/>
  <c r="D374" i="8"/>
  <c r="C272" i="10" l="1"/>
  <c r="E271" i="10"/>
  <c r="B376" i="8"/>
  <c r="G375" i="8"/>
  <c r="D375" i="8"/>
  <c r="F375" i="8"/>
  <c r="C273" i="10" l="1"/>
  <c r="E272" i="10"/>
  <c r="B377" i="8"/>
  <c r="G376" i="8"/>
  <c r="F376" i="8"/>
  <c r="D376" i="8"/>
  <c r="E273" i="10" l="1"/>
  <c r="C274" i="10"/>
  <c r="B378" i="8"/>
  <c r="G377" i="8"/>
  <c r="F377" i="8"/>
  <c r="D377" i="8"/>
  <c r="C275" i="10" l="1"/>
  <c r="E274" i="10"/>
  <c r="B379" i="8"/>
  <c r="G378" i="8"/>
  <c r="F378" i="8"/>
  <c r="D378" i="8"/>
  <c r="C276" i="10" l="1"/>
  <c r="E275" i="10"/>
  <c r="B380" i="8"/>
  <c r="G379" i="8"/>
  <c r="F379" i="8"/>
  <c r="D379" i="8"/>
  <c r="C277" i="10" l="1"/>
  <c r="E276" i="10"/>
  <c r="B381" i="8"/>
  <c r="G380" i="8"/>
  <c r="F380" i="8"/>
  <c r="D380" i="8"/>
  <c r="C278" i="10" l="1"/>
  <c r="E277" i="10"/>
  <c r="B382" i="8"/>
  <c r="G381" i="8"/>
  <c r="F381" i="8"/>
  <c r="D381" i="8"/>
  <c r="C279" i="10" l="1"/>
  <c r="E278" i="10"/>
  <c r="B383" i="8"/>
  <c r="G382" i="8"/>
  <c r="D382" i="8"/>
  <c r="F382" i="8"/>
  <c r="C280" i="10" l="1"/>
  <c r="E279" i="10"/>
  <c r="B384" i="8"/>
  <c r="F383" i="8"/>
  <c r="D383" i="8"/>
  <c r="G383" i="8"/>
  <c r="C281" i="10" l="1"/>
  <c r="E280" i="10"/>
  <c r="B385" i="8"/>
  <c r="F384" i="8"/>
  <c r="D384" i="8"/>
  <c r="G384" i="8"/>
  <c r="E281" i="10" l="1"/>
  <c r="C282" i="10"/>
  <c r="B386" i="8"/>
  <c r="D385" i="8"/>
  <c r="G385" i="8"/>
  <c r="F385" i="8"/>
  <c r="C283" i="10" l="1"/>
  <c r="E282" i="10"/>
  <c r="B387" i="8"/>
  <c r="F386" i="8"/>
  <c r="D386" i="8"/>
  <c r="G386" i="8"/>
  <c r="C284" i="10" l="1"/>
  <c r="E283" i="10"/>
  <c r="B388" i="8"/>
  <c r="F387" i="8"/>
  <c r="G387" i="8"/>
  <c r="D387" i="8"/>
  <c r="C285" i="10" l="1"/>
  <c r="E284" i="10"/>
  <c r="B389" i="8"/>
  <c r="F388" i="8"/>
  <c r="G388" i="8"/>
  <c r="D388" i="8"/>
  <c r="E285" i="10" l="1"/>
  <c r="C286" i="10"/>
  <c r="B390" i="8"/>
  <c r="D389" i="8"/>
  <c r="F389" i="8"/>
  <c r="G389" i="8"/>
  <c r="C287" i="10" l="1"/>
  <c r="E286" i="10"/>
  <c r="B391" i="8"/>
  <c r="D390" i="8"/>
  <c r="G390" i="8"/>
  <c r="F390" i="8"/>
  <c r="C288" i="10" l="1"/>
  <c r="E287" i="10"/>
  <c r="B392" i="8"/>
  <c r="D391" i="8"/>
  <c r="F391" i="8"/>
  <c r="G391" i="8"/>
  <c r="C289" i="10" l="1"/>
  <c r="E288" i="10"/>
  <c r="B393" i="8"/>
  <c r="D392" i="8"/>
  <c r="G392" i="8"/>
  <c r="F392" i="8"/>
  <c r="E289" i="10" l="1"/>
  <c r="C290" i="10"/>
  <c r="B394" i="8"/>
  <c r="F393" i="8"/>
  <c r="D393" i="8"/>
  <c r="G393" i="8"/>
  <c r="C291" i="10" l="1"/>
  <c r="E290" i="10"/>
  <c r="B395" i="8"/>
  <c r="G394" i="8"/>
  <c r="D394" i="8"/>
  <c r="F394" i="8"/>
  <c r="C292" i="10" l="1"/>
  <c r="E291" i="10"/>
  <c r="B396" i="8"/>
  <c r="D395" i="8"/>
  <c r="F395" i="8"/>
  <c r="G395" i="8"/>
  <c r="C293" i="10" l="1"/>
  <c r="E292" i="10"/>
  <c r="B397" i="8"/>
  <c r="D396" i="8"/>
  <c r="F396" i="8"/>
  <c r="G396" i="8"/>
  <c r="C294" i="10" l="1"/>
  <c r="E293" i="10"/>
  <c r="B398" i="8"/>
  <c r="F397" i="8"/>
  <c r="D397" i="8"/>
  <c r="G397" i="8"/>
  <c r="C295" i="10" l="1"/>
  <c r="E294" i="10"/>
  <c r="B399" i="8"/>
  <c r="F398" i="8"/>
  <c r="D398" i="8"/>
  <c r="G398" i="8"/>
  <c r="C296" i="10" l="1"/>
  <c r="E295" i="10"/>
  <c r="B400" i="8"/>
  <c r="D399" i="8"/>
  <c r="G399" i="8"/>
  <c r="F399" i="8"/>
  <c r="C297" i="10" l="1"/>
  <c r="E296" i="10"/>
  <c r="B401" i="8"/>
  <c r="D400" i="8"/>
  <c r="F400" i="8"/>
  <c r="G400" i="8"/>
  <c r="E297" i="10" l="1"/>
  <c r="C298" i="10"/>
  <c r="B402" i="8"/>
  <c r="D401" i="8"/>
  <c r="F401" i="8"/>
  <c r="G401" i="8"/>
  <c r="C299" i="10" l="1"/>
  <c r="E298" i="10"/>
  <c r="F402" i="8"/>
  <c r="G402" i="8"/>
  <c r="D402" i="8"/>
  <c r="G112" i="8"/>
  <c r="B112" i="8"/>
  <c r="F112" i="8"/>
  <c r="G111" i="8"/>
  <c r="C300" i="10" l="1"/>
  <c r="E299" i="10"/>
  <c r="D111" i="8"/>
  <c r="F111" i="8"/>
  <c r="G4" i="8"/>
  <c r="H4" i="8" s="1"/>
  <c r="B4" i="8"/>
  <c r="F4" i="8" s="1"/>
  <c r="C301" i="10" l="1"/>
  <c r="E300" i="10"/>
  <c r="K4" i="8"/>
  <c r="M4" i="8" s="1"/>
  <c r="J4" i="8"/>
  <c r="I4" i="8"/>
  <c r="L4" i="8"/>
  <c r="F5" i="8"/>
  <c r="J5" i="8"/>
  <c r="G5" i="8"/>
  <c r="H5" i="8" s="1"/>
  <c r="K5" i="8"/>
  <c r="D5" i="8"/>
  <c r="B6" i="8"/>
  <c r="E301" i="10" l="1"/>
  <c r="C302" i="10"/>
  <c r="I5" i="8"/>
  <c r="F6" i="8"/>
  <c r="G6" i="8"/>
  <c r="H6" i="8" s="1"/>
  <c r="B7" i="8"/>
  <c r="D6" i="8"/>
  <c r="M5" i="8"/>
  <c r="L5" i="8"/>
  <c r="C303" i="10" l="1"/>
  <c r="E302" i="10"/>
  <c r="K6" i="8"/>
  <c r="I6" i="8"/>
  <c r="J6" i="8"/>
  <c r="L6" i="8" s="1"/>
  <c r="M6" i="8"/>
  <c r="G7" i="8"/>
  <c r="H7" i="8" s="1"/>
  <c r="B8" i="8"/>
  <c r="D7" i="8"/>
  <c r="F7" i="8"/>
  <c r="C304" i="10" l="1"/>
  <c r="E303" i="10"/>
  <c r="J7" i="8"/>
  <c r="L7" i="8" s="1"/>
  <c r="K7" i="8"/>
  <c r="I7" i="8"/>
  <c r="G8" i="8"/>
  <c r="H8" i="8" s="1"/>
  <c r="B9" i="8"/>
  <c r="D8" i="8"/>
  <c r="F8" i="8"/>
  <c r="M7" i="8"/>
  <c r="C305" i="10" l="1"/>
  <c r="E304" i="10"/>
  <c r="I8" i="8"/>
  <c r="J8" i="8"/>
  <c r="L8" i="8" s="1"/>
  <c r="K8" i="8"/>
  <c r="M8" i="8" s="1"/>
  <c r="F9" i="8"/>
  <c r="B10" i="8"/>
  <c r="D9" i="8"/>
  <c r="G9" i="8"/>
  <c r="H9" i="8" s="1"/>
  <c r="E305" i="10" l="1"/>
  <c r="C306" i="10"/>
  <c r="J9" i="8"/>
  <c r="L9" i="8" s="1"/>
  <c r="K9" i="8"/>
  <c r="M9" i="8" s="1"/>
  <c r="I9" i="8"/>
  <c r="G10" i="8"/>
  <c r="H10" i="8" s="1"/>
  <c r="B11" i="8"/>
  <c r="F10" i="8"/>
  <c r="D10" i="8"/>
  <c r="C307" i="10" l="1"/>
  <c r="E306" i="10"/>
  <c r="I10" i="8"/>
  <c r="K10" i="8"/>
  <c r="M10" i="8" s="1"/>
  <c r="J10" i="8"/>
  <c r="L10" i="8" s="1"/>
  <c r="G11" i="8"/>
  <c r="H11" i="8" s="1"/>
  <c r="B12" i="8"/>
  <c r="F11" i="8"/>
  <c r="D11" i="8"/>
  <c r="C308" i="10" l="1"/>
  <c r="E307" i="10"/>
  <c r="K11" i="8"/>
  <c r="M11" i="8" s="1"/>
  <c r="I11" i="8"/>
  <c r="J11" i="8"/>
  <c r="L11" i="8" s="1"/>
  <c r="D12" i="8"/>
  <c r="B13" i="8"/>
  <c r="G12" i="8"/>
  <c r="H12" i="8" s="1"/>
  <c r="F12" i="8"/>
  <c r="C309" i="10" l="1"/>
  <c r="E308" i="10"/>
  <c r="J12" i="8"/>
  <c r="L12" i="8" s="1"/>
  <c r="I12" i="8"/>
  <c r="K12" i="8"/>
  <c r="M12" i="8"/>
  <c r="F13" i="8"/>
  <c r="B14" i="8"/>
  <c r="G13" i="8"/>
  <c r="H13" i="8" s="1"/>
  <c r="D13" i="8"/>
  <c r="C310" i="10" l="1"/>
  <c r="E309" i="10"/>
  <c r="J13" i="8"/>
  <c r="K13" i="8"/>
  <c r="I13" i="8"/>
  <c r="L13" i="8"/>
  <c r="G14" i="8"/>
  <c r="H14" i="8" s="1"/>
  <c r="B15" i="8"/>
  <c r="D14" i="8"/>
  <c r="F14" i="8"/>
  <c r="M13" i="8"/>
  <c r="C311" i="10" l="1"/>
  <c r="E310" i="10"/>
  <c r="I14" i="8"/>
  <c r="H15" i="8"/>
  <c r="K14" i="8"/>
  <c r="J14" i="8"/>
  <c r="L14" i="8" s="1"/>
  <c r="G15" i="8"/>
  <c r="B16" i="8"/>
  <c r="D15" i="8"/>
  <c r="F15" i="8"/>
  <c r="M14" i="8"/>
  <c r="C312" i="10" l="1"/>
  <c r="E311" i="10"/>
  <c r="G16" i="8"/>
  <c r="H16" i="8" s="1"/>
  <c r="B17" i="8"/>
  <c r="F16" i="8"/>
  <c r="D16" i="8"/>
  <c r="I15" i="8"/>
  <c r="J15" i="8"/>
  <c r="L15" i="8" s="1"/>
  <c r="K15" i="8"/>
  <c r="M15" i="8"/>
  <c r="C313" i="10" l="1"/>
  <c r="E312" i="10"/>
  <c r="J16" i="8"/>
  <c r="L16" i="8" s="1"/>
  <c r="I16" i="8"/>
  <c r="K16" i="8"/>
  <c r="F17" i="8"/>
  <c r="B18" i="8"/>
  <c r="D17" i="8"/>
  <c r="G17" i="8"/>
  <c r="H17" i="8" s="1"/>
  <c r="M16" i="8"/>
  <c r="E313" i="10" l="1"/>
  <c r="C314" i="10"/>
  <c r="J17" i="8"/>
  <c r="K17" i="8"/>
  <c r="I17" i="8"/>
  <c r="L17" i="8"/>
  <c r="F18" i="8"/>
  <c r="B19" i="8"/>
  <c r="G18" i="8"/>
  <c r="H18" i="8" s="1"/>
  <c r="D18" i="8"/>
  <c r="M17" i="8"/>
  <c r="C315" i="10" l="1"/>
  <c r="E314" i="10"/>
  <c r="J18" i="8"/>
  <c r="H19" i="8"/>
  <c r="I18" i="8"/>
  <c r="K18" i="8"/>
  <c r="M18" i="8" s="1"/>
  <c r="G19" i="8"/>
  <c r="B20" i="8"/>
  <c r="D19" i="8"/>
  <c r="F19" i="8"/>
  <c r="L18" i="8"/>
  <c r="C316" i="10" l="1"/>
  <c r="E315" i="10"/>
  <c r="G20" i="8"/>
  <c r="H20" i="8" s="1"/>
  <c r="B21" i="8"/>
  <c r="D20" i="8"/>
  <c r="F20" i="8"/>
  <c r="J19" i="8"/>
  <c r="L19" i="8" s="1"/>
  <c r="K19" i="8"/>
  <c r="M19" i="8" s="1"/>
  <c r="I19" i="8"/>
  <c r="C317" i="10" l="1"/>
  <c r="E316" i="10"/>
  <c r="I20" i="8"/>
  <c r="H21" i="8"/>
  <c r="K20" i="8"/>
  <c r="M20" i="8" s="1"/>
  <c r="J20" i="8"/>
  <c r="L20" i="8" s="1"/>
  <c r="G21" i="8"/>
  <c r="B22" i="8"/>
  <c r="F21" i="8"/>
  <c r="D21" i="8"/>
  <c r="E317" i="10" l="1"/>
  <c r="C318" i="10"/>
  <c r="D22" i="8"/>
  <c r="B23" i="8"/>
  <c r="G22" i="8"/>
  <c r="F22" i="8"/>
  <c r="I21" i="8"/>
  <c r="H22" i="8"/>
  <c r="J21" i="8"/>
  <c r="L21" i="8" s="1"/>
  <c r="K21" i="8"/>
  <c r="M21" i="8" s="1"/>
  <c r="C319" i="10" l="1"/>
  <c r="E318" i="10"/>
  <c r="G23" i="8"/>
  <c r="B24" i="8"/>
  <c r="F23" i="8"/>
  <c r="K22" i="8"/>
  <c r="M22" i="8" s="1"/>
  <c r="H23" i="8"/>
  <c r="J22" i="8"/>
  <c r="L22" i="8" s="1"/>
  <c r="I22" i="8"/>
  <c r="C320" i="10" l="1"/>
  <c r="E319" i="10"/>
  <c r="G24" i="8"/>
  <c r="D25" i="8"/>
  <c r="F24" i="8"/>
  <c r="I23" i="8"/>
  <c r="K23" i="8"/>
  <c r="M23" i="8" s="1"/>
  <c r="H24" i="8"/>
  <c r="J23" i="8"/>
  <c r="L23" i="8" s="1"/>
  <c r="C321" i="10" l="1"/>
  <c r="E320" i="10"/>
  <c r="I24" i="8"/>
  <c r="K24" i="8"/>
  <c r="M24" i="8" s="1"/>
  <c r="H25" i="8"/>
  <c r="J24" i="8"/>
  <c r="L24" i="8" s="1"/>
  <c r="E321" i="10" l="1"/>
  <c r="C322" i="10"/>
  <c r="K25" i="8"/>
  <c r="M25" i="8" s="1"/>
  <c r="I25" i="8"/>
  <c r="H26" i="8"/>
  <c r="J25" i="8"/>
  <c r="L25" i="8" s="1"/>
  <c r="C323" i="10" l="1"/>
  <c r="E322" i="10"/>
  <c r="I26" i="8"/>
  <c r="J26" i="8"/>
  <c r="L26" i="8" s="1"/>
  <c r="H27" i="8"/>
  <c r="K26" i="8"/>
  <c r="M26" i="8" s="1"/>
  <c r="C324" i="10" l="1"/>
  <c r="E323" i="10"/>
  <c r="K27" i="8"/>
  <c r="M27" i="8" s="1"/>
  <c r="I27" i="8"/>
  <c r="H28" i="8"/>
  <c r="J27" i="8"/>
  <c r="L27" i="8" s="1"/>
  <c r="C325" i="10" l="1"/>
  <c r="E324" i="10"/>
  <c r="I28" i="8"/>
  <c r="K28" i="8"/>
  <c r="M28" i="8" s="1"/>
  <c r="H29" i="8"/>
  <c r="J28" i="8"/>
  <c r="L28" i="8" s="1"/>
  <c r="C326" i="10" l="1"/>
  <c r="E325" i="10"/>
  <c r="I29" i="8"/>
  <c r="K29" i="8"/>
  <c r="M29" i="8" s="1"/>
  <c r="H30" i="8"/>
  <c r="J29" i="8"/>
  <c r="L29" i="8" s="1"/>
  <c r="C327" i="10" l="1"/>
  <c r="E326" i="10"/>
  <c r="K30" i="8"/>
  <c r="M30" i="8" s="1"/>
  <c r="I30" i="8"/>
  <c r="H31" i="8"/>
  <c r="J30" i="8"/>
  <c r="L30" i="8" s="1"/>
  <c r="C328" i="10" l="1"/>
  <c r="E327" i="10"/>
  <c r="I31" i="8"/>
  <c r="J31" i="8"/>
  <c r="L31" i="8" s="1"/>
  <c r="H32" i="8"/>
  <c r="K31" i="8"/>
  <c r="M31" i="8" s="1"/>
  <c r="C329" i="10" l="1"/>
  <c r="E328" i="10"/>
  <c r="I32" i="8"/>
  <c r="J32" i="8"/>
  <c r="L32" i="8" s="1"/>
  <c r="H33" i="8"/>
  <c r="K32" i="8"/>
  <c r="M32" i="8" s="1"/>
  <c r="E329" i="10" l="1"/>
  <c r="C330" i="10"/>
  <c r="J33" i="8"/>
  <c r="L33" i="8" s="1"/>
  <c r="K33" i="8"/>
  <c r="M33" i="8" s="1"/>
  <c r="H34" i="8"/>
  <c r="I33" i="8"/>
  <c r="C331" i="10" l="1"/>
  <c r="E330" i="10"/>
  <c r="J34" i="8"/>
  <c r="L34" i="8" s="1"/>
  <c r="K34" i="8"/>
  <c r="M34" i="8" s="1"/>
  <c r="H35" i="8"/>
  <c r="I34" i="8"/>
  <c r="C332" i="10" l="1"/>
  <c r="E331" i="10"/>
  <c r="K35" i="8"/>
  <c r="M35" i="8" s="1"/>
  <c r="I35" i="8"/>
  <c r="H36" i="8"/>
  <c r="J35" i="8"/>
  <c r="L35" i="8" s="1"/>
  <c r="C333" i="10" l="1"/>
  <c r="E332" i="10"/>
  <c r="J36" i="8"/>
  <c r="L36" i="8" s="1"/>
  <c r="K36" i="8"/>
  <c r="M36" i="8" s="1"/>
  <c r="H37" i="8"/>
  <c r="I36" i="8"/>
  <c r="E333" i="10" l="1"/>
  <c r="C334" i="10"/>
  <c r="J37" i="8"/>
  <c r="L37" i="8" s="1"/>
  <c r="K37" i="8"/>
  <c r="M37" i="8" s="1"/>
  <c r="H38" i="8"/>
  <c r="I37" i="8"/>
  <c r="C335" i="10" l="1"/>
  <c r="E334" i="10"/>
  <c r="K38" i="8"/>
  <c r="M38" i="8" s="1"/>
  <c r="J38" i="8"/>
  <c r="L38" i="8" s="1"/>
  <c r="H39" i="8"/>
  <c r="I38" i="8"/>
  <c r="C336" i="10" l="1"/>
  <c r="E335" i="10"/>
  <c r="K39" i="8"/>
  <c r="M39" i="8" s="1"/>
  <c r="I39" i="8"/>
  <c r="H40" i="8"/>
  <c r="J39" i="8"/>
  <c r="L39" i="8" s="1"/>
  <c r="C337" i="10" l="1"/>
  <c r="E336" i="10"/>
  <c r="K40" i="8"/>
  <c r="M40" i="8" s="1"/>
  <c r="I40" i="8"/>
  <c r="H41" i="8"/>
  <c r="J40" i="8"/>
  <c r="L40" i="8" s="1"/>
  <c r="E337" i="10" l="1"/>
  <c r="C338" i="10"/>
  <c r="J41" i="8"/>
  <c r="L41" i="8" s="1"/>
  <c r="I41" i="8"/>
  <c r="H42" i="8"/>
  <c r="K41" i="8"/>
  <c r="M41" i="8" s="1"/>
  <c r="C339" i="10" l="1"/>
  <c r="E338" i="10"/>
  <c r="J42" i="8"/>
  <c r="L42" i="8" s="1"/>
  <c r="I42" i="8"/>
  <c r="H43" i="8"/>
  <c r="K42" i="8"/>
  <c r="M42" i="8" s="1"/>
  <c r="C340" i="10" l="1"/>
  <c r="E339" i="10"/>
  <c r="K43" i="8"/>
  <c r="M43" i="8" s="1"/>
  <c r="I43" i="8"/>
  <c r="H44" i="8"/>
  <c r="J43" i="8"/>
  <c r="L43" i="8" s="1"/>
  <c r="C341" i="10" l="1"/>
  <c r="E340" i="10"/>
  <c r="K44" i="8"/>
  <c r="M44" i="8" s="1"/>
  <c r="J44" i="8"/>
  <c r="L44" i="8" s="1"/>
  <c r="H45" i="8"/>
  <c r="I44" i="8"/>
  <c r="C342" i="10" l="1"/>
  <c r="E341" i="10"/>
  <c r="K45" i="8"/>
  <c r="M45" i="8" s="1"/>
  <c r="J45" i="8"/>
  <c r="L45" i="8" s="1"/>
  <c r="H46" i="8"/>
  <c r="I45" i="8"/>
  <c r="C343" i="10" l="1"/>
  <c r="E342" i="10"/>
  <c r="K46" i="8"/>
  <c r="M46" i="8" s="1"/>
  <c r="I46" i="8"/>
  <c r="H47" i="8"/>
  <c r="J46" i="8"/>
  <c r="L46" i="8" s="1"/>
  <c r="C344" i="10" l="1"/>
  <c r="E343" i="10"/>
  <c r="J47" i="8"/>
  <c r="L47" i="8" s="1"/>
  <c r="K47" i="8"/>
  <c r="M47" i="8" s="1"/>
  <c r="H48" i="8"/>
  <c r="I47" i="8"/>
  <c r="C345" i="10" l="1"/>
  <c r="E344" i="10"/>
  <c r="K48" i="8"/>
  <c r="M48" i="8" s="1"/>
  <c r="J48" i="8"/>
  <c r="L48" i="8" s="1"/>
  <c r="H49" i="8"/>
  <c r="I48" i="8"/>
  <c r="E345" i="10" l="1"/>
  <c r="C346" i="10"/>
  <c r="I49" i="8"/>
  <c r="K49" i="8"/>
  <c r="M49" i="8" s="1"/>
  <c r="H50" i="8"/>
  <c r="J49" i="8"/>
  <c r="L49" i="8" s="1"/>
  <c r="C347" i="10" l="1"/>
  <c r="E346" i="10"/>
  <c r="K50" i="8"/>
  <c r="M50" i="8" s="1"/>
  <c r="J50" i="8"/>
  <c r="L50" i="8" s="1"/>
  <c r="H51" i="8"/>
  <c r="I50" i="8"/>
  <c r="C348" i="10" l="1"/>
  <c r="E347" i="10"/>
  <c r="J51" i="8"/>
  <c r="L51" i="8" s="1"/>
  <c r="I51" i="8"/>
  <c r="H52" i="8"/>
  <c r="K51" i="8"/>
  <c r="M51" i="8" s="1"/>
  <c r="E348" i="10" l="1"/>
  <c r="C349" i="10"/>
  <c r="I52" i="8"/>
  <c r="K52" i="8"/>
  <c r="M52" i="8" s="1"/>
  <c r="H53" i="8"/>
  <c r="J52" i="8"/>
  <c r="L52" i="8" s="1"/>
  <c r="C350" i="10" l="1"/>
  <c r="E349" i="10"/>
  <c r="K53" i="8"/>
  <c r="M53" i="8" s="1"/>
  <c r="I53" i="8"/>
  <c r="H54" i="8"/>
  <c r="J53" i="8"/>
  <c r="L53" i="8" s="1"/>
  <c r="C351" i="10" l="1"/>
  <c r="E350" i="10"/>
  <c r="J54" i="8"/>
  <c r="L54" i="8" s="1"/>
  <c r="I54" i="8"/>
  <c r="H55" i="8"/>
  <c r="K54" i="8"/>
  <c r="M54" i="8" s="1"/>
  <c r="C352" i="10" l="1"/>
  <c r="E351" i="10"/>
  <c r="I55" i="8"/>
  <c r="K55" i="8"/>
  <c r="M55" i="8" s="1"/>
  <c r="H56" i="8"/>
  <c r="J55" i="8"/>
  <c r="L55" i="8" s="1"/>
  <c r="E352" i="10" l="1"/>
  <c r="C353" i="10"/>
  <c r="I56" i="8"/>
  <c r="K56" i="8"/>
  <c r="M56" i="8" s="1"/>
  <c r="H57" i="8"/>
  <c r="J56" i="8"/>
  <c r="L56" i="8" s="1"/>
  <c r="C354" i="10" l="1"/>
  <c r="E353" i="10"/>
  <c r="J57" i="8"/>
  <c r="L57" i="8" s="1"/>
  <c r="I57" i="8"/>
  <c r="H58" i="8"/>
  <c r="K57" i="8"/>
  <c r="M57" i="8" s="1"/>
  <c r="C355" i="10" l="1"/>
  <c r="E354" i="10"/>
  <c r="I58" i="8"/>
  <c r="K58" i="8"/>
  <c r="M58" i="8" s="1"/>
  <c r="H59" i="8"/>
  <c r="J58" i="8"/>
  <c r="L58" i="8" s="1"/>
  <c r="C356" i="10" l="1"/>
  <c r="E355" i="10"/>
  <c r="I59" i="8"/>
  <c r="K59" i="8"/>
  <c r="M59" i="8" s="1"/>
  <c r="H60" i="8"/>
  <c r="J59" i="8"/>
  <c r="L59" i="8" s="1"/>
  <c r="E356" i="10" l="1"/>
  <c r="C357" i="10"/>
  <c r="J60" i="8"/>
  <c r="L60" i="8" s="1"/>
  <c r="K60" i="8"/>
  <c r="M60" i="8" s="1"/>
  <c r="H61" i="8"/>
  <c r="I60" i="8"/>
  <c r="C358" i="10" l="1"/>
  <c r="E357" i="10"/>
  <c r="I61" i="8"/>
  <c r="K61" i="8"/>
  <c r="M61" i="8" s="1"/>
  <c r="H62" i="8"/>
  <c r="J61" i="8"/>
  <c r="L61" i="8" s="1"/>
  <c r="C359" i="10" l="1"/>
  <c r="E358" i="10"/>
  <c r="K62" i="8"/>
  <c r="M62" i="8" s="1"/>
  <c r="I62" i="8"/>
  <c r="H63" i="8"/>
  <c r="J62" i="8"/>
  <c r="L62" i="8" s="1"/>
  <c r="C360" i="10" l="1"/>
  <c r="E359" i="10"/>
  <c r="K63" i="8"/>
  <c r="M63" i="8" s="1"/>
  <c r="J63" i="8"/>
  <c r="L63" i="8" s="1"/>
  <c r="H64" i="8"/>
  <c r="I63" i="8"/>
  <c r="E360" i="10" l="1"/>
  <c r="C361" i="10"/>
  <c r="K64" i="8"/>
  <c r="M64" i="8" s="1"/>
  <c r="I64" i="8"/>
  <c r="H65" i="8"/>
  <c r="J64" i="8"/>
  <c r="L64" i="8" s="1"/>
  <c r="C362" i="10" l="1"/>
  <c r="E361" i="10"/>
  <c r="I65" i="8"/>
  <c r="J65" i="8"/>
  <c r="L65" i="8" s="1"/>
  <c r="H66" i="8"/>
  <c r="K65" i="8"/>
  <c r="M65" i="8" s="1"/>
  <c r="C363" i="10" l="1"/>
  <c r="E362" i="10"/>
  <c r="I66" i="8"/>
  <c r="K66" i="8"/>
  <c r="M66" i="8" s="1"/>
  <c r="H67" i="8"/>
  <c r="J66" i="8"/>
  <c r="L66" i="8" s="1"/>
  <c r="C364" i="10" l="1"/>
  <c r="E363" i="10"/>
  <c r="J67" i="8"/>
  <c r="L67" i="8" s="1"/>
  <c r="I67" i="8"/>
  <c r="H68" i="8"/>
  <c r="K67" i="8"/>
  <c r="M67" i="8" s="1"/>
  <c r="E364" i="10" l="1"/>
  <c r="C365" i="10"/>
  <c r="I68" i="8"/>
  <c r="K68" i="8"/>
  <c r="M68" i="8" s="1"/>
  <c r="H69" i="8"/>
  <c r="J68" i="8"/>
  <c r="L68" i="8" s="1"/>
  <c r="C366" i="10" l="1"/>
  <c r="E365" i="10"/>
  <c r="I69" i="8"/>
  <c r="J69" i="8"/>
  <c r="L69" i="8" s="1"/>
  <c r="H70" i="8"/>
  <c r="K69" i="8"/>
  <c r="M69" i="8" s="1"/>
  <c r="C367" i="10" l="1"/>
  <c r="E366" i="10"/>
  <c r="J70" i="8"/>
  <c r="L70" i="8" s="1"/>
  <c r="K70" i="8"/>
  <c r="M70" i="8" s="1"/>
  <c r="H71" i="8"/>
  <c r="I70" i="8"/>
  <c r="C368" i="10" l="1"/>
  <c r="E367" i="10"/>
  <c r="K71" i="8"/>
  <c r="M71" i="8" s="1"/>
  <c r="I71" i="8"/>
  <c r="H72" i="8"/>
  <c r="J71" i="8"/>
  <c r="L71" i="8" s="1"/>
  <c r="E368" i="10" l="1"/>
  <c r="C369" i="10"/>
  <c r="I72" i="8"/>
  <c r="J72" i="8"/>
  <c r="L72" i="8" s="1"/>
  <c r="K72" i="8"/>
  <c r="M72" i="8" s="1"/>
  <c r="H73" i="8"/>
  <c r="C370" i="10" l="1"/>
  <c r="E369" i="10"/>
  <c r="I73" i="8"/>
  <c r="J73" i="8"/>
  <c r="L73" i="8" s="1"/>
  <c r="H74" i="8"/>
  <c r="K73" i="8"/>
  <c r="M73" i="8" s="1"/>
  <c r="C371" i="10" l="1"/>
  <c r="E370" i="10"/>
  <c r="K74" i="8"/>
  <c r="M74" i="8" s="1"/>
  <c r="J74" i="8"/>
  <c r="L74" i="8" s="1"/>
  <c r="H75" i="8"/>
  <c r="I74" i="8"/>
  <c r="C372" i="10" l="1"/>
  <c r="E371" i="10"/>
  <c r="I75" i="8"/>
  <c r="K75" i="8"/>
  <c r="M75" i="8" s="1"/>
  <c r="H76" i="8"/>
  <c r="J75" i="8"/>
  <c r="L75" i="8" s="1"/>
  <c r="E372" i="10" l="1"/>
  <c r="C373" i="10"/>
  <c r="K76" i="8"/>
  <c r="M76" i="8" s="1"/>
  <c r="I76" i="8"/>
  <c r="J76" i="8"/>
  <c r="L76" i="8" s="1"/>
  <c r="H77" i="8"/>
  <c r="C374" i="10" l="1"/>
  <c r="E373" i="10"/>
  <c r="J77" i="8"/>
  <c r="L77" i="8" s="1"/>
  <c r="I77" i="8"/>
  <c r="K77" i="8"/>
  <c r="M77" i="8" s="1"/>
  <c r="H78" i="8"/>
  <c r="C375" i="10" l="1"/>
  <c r="E374" i="10"/>
  <c r="K78" i="8"/>
  <c r="M78" i="8" s="1"/>
  <c r="J78" i="8"/>
  <c r="L78" i="8" s="1"/>
  <c r="H79" i="8"/>
  <c r="I78" i="8"/>
  <c r="C376" i="10" l="1"/>
  <c r="E375" i="10"/>
  <c r="J79" i="8"/>
  <c r="L79" i="8" s="1"/>
  <c r="I79" i="8"/>
  <c r="K79" i="8"/>
  <c r="M79" i="8" s="1"/>
  <c r="H80" i="8"/>
  <c r="E376" i="10" l="1"/>
  <c r="C377" i="10"/>
  <c r="K80" i="8"/>
  <c r="M80" i="8" s="1"/>
  <c r="I80" i="8"/>
  <c r="J80" i="8"/>
  <c r="L80" i="8" s="1"/>
  <c r="H81" i="8"/>
  <c r="C378" i="10" l="1"/>
  <c r="E377" i="10"/>
  <c r="J81" i="8"/>
  <c r="L81" i="8" s="1"/>
  <c r="I81" i="8"/>
  <c r="K81" i="8"/>
  <c r="M81" i="8" s="1"/>
  <c r="H82" i="8"/>
  <c r="C379" i="10" l="1"/>
  <c r="E378" i="10"/>
  <c r="K82" i="8"/>
  <c r="M82" i="8" s="1"/>
  <c r="J82" i="8"/>
  <c r="L82" i="8" s="1"/>
  <c r="H83" i="8"/>
  <c r="I82" i="8"/>
  <c r="C380" i="10" l="1"/>
  <c r="E379" i="10"/>
  <c r="K83" i="8"/>
  <c r="M83" i="8" s="1"/>
  <c r="J83" i="8"/>
  <c r="L83" i="8" s="1"/>
  <c r="I83" i="8"/>
  <c r="H84" i="8"/>
  <c r="E380" i="10" l="1"/>
  <c r="C381" i="10"/>
  <c r="I84" i="8"/>
  <c r="J84" i="8"/>
  <c r="L84" i="8" s="1"/>
  <c r="K84" i="8"/>
  <c r="M84" i="8" s="1"/>
  <c r="H85" i="8"/>
  <c r="C382" i="10" l="1"/>
  <c r="E381" i="10"/>
  <c r="I85" i="8"/>
  <c r="J85" i="8"/>
  <c r="L85" i="8" s="1"/>
  <c r="H86" i="8"/>
  <c r="K85" i="8"/>
  <c r="M85" i="8" s="1"/>
  <c r="C383" i="10" l="1"/>
  <c r="E382" i="10"/>
  <c r="J86" i="8"/>
  <c r="L86" i="8" s="1"/>
  <c r="I86" i="8"/>
  <c r="K86" i="8"/>
  <c r="M86" i="8" s="1"/>
  <c r="H87" i="8"/>
  <c r="C384" i="10" l="1"/>
  <c r="E383" i="10"/>
  <c r="I87" i="8"/>
  <c r="J87" i="8"/>
  <c r="L87" i="8" s="1"/>
  <c r="K87" i="8"/>
  <c r="M87" i="8" s="1"/>
  <c r="H88" i="8"/>
  <c r="E384" i="10" l="1"/>
  <c r="C385" i="10"/>
  <c r="J88" i="8"/>
  <c r="L88" i="8" s="1"/>
  <c r="K88" i="8"/>
  <c r="M88" i="8" s="1"/>
  <c r="H89" i="8"/>
  <c r="I88" i="8"/>
  <c r="C386" i="10" l="1"/>
  <c r="E385" i="10"/>
  <c r="K89" i="8"/>
  <c r="M89" i="8" s="1"/>
  <c r="J89" i="8"/>
  <c r="L89" i="8" s="1"/>
  <c r="I89" i="8"/>
  <c r="H90" i="8"/>
  <c r="C387" i="10" l="1"/>
  <c r="E386" i="10"/>
  <c r="J90" i="8"/>
  <c r="L90" i="8" s="1"/>
  <c r="I90" i="8"/>
  <c r="K90" i="8"/>
  <c r="M90" i="8" s="1"/>
  <c r="H91" i="8"/>
  <c r="C388" i="10" l="1"/>
  <c r="E387" i="10"/>
  <c r="I91" i="8"/>
  <c r="K91" i="8"/>
  <c r="M91" i="8" s="1"/>
  <c r="H92" i="8"/>
  <c r="J91" i="8"/>
  <c r="L91" i="8" s="1"/>
  <c r="E388" i="10" l="1"/>
  <c r="C389" i="10"/>
  <c r="I92" i="8"/>
  <c r="K92" i="8"/>
  <c r="M92" i="8" s="1"/>
  <c r="H93" i="8"/>
  <c r="J92" i="8"/>
  <c r="L92" i="8" s="1"/>
  <c r="C390" i="10" l="1"/>
  <c r="E389" i="10"/>
  <c r="J93" i="8"/>
  <c r="L93" i="8" s="1"/>
  <c r="K93" i="8"/>
  <c r="M93" i="8" s="1"/>
  <c r="I93" i="8"/>
  <c r="H94" i="8"/>
  <c r="C391" i="10" l="1"/>
  <c r="E390" i="10"/>
  <c r="I94" i="8"/>
  <c r="K94" i="8"/>
  <c r="M94" i="8" s="1"/>
  <c r="J94" i="8"/>
  <c r="L94" i="8" s="1"/>
  <c r="H95" i="8"/>
  <c r="C392" i="10" l="1"/>
  <c r="E391" i="10"/>
  <c r="K95" i="8"/>
  <c r="M95" i="8" s="1"/>
  <c r="J95" i="8"/>
  <c r="L95" i="8" s="1"/>
  <c r="H96" i="8"/>
  <c r="I95" i="8"/>
  <c r="E392" i="10" l="1"/>
  <c r="C393" i="10"/>
  <c r="K96" i="8"/>
  <c r="M96" i="8" s="1"/>
  <c r="I96" i="8"/>
  <c r="J96" i="8"/>
  <c r="L96" i="8" s="1"/>
  <c r="H97" i="8"/>
  <c r="C394" i="10" l="1"/>
  <c r="E393" i="10"/>
  <c r="I97" i="8"/>
  <c r="K97" i="8"/>
  <c r="M97" i="8" s="1"/>
  <c r="J97" i="8"/>
  <c r="L97" i="8" s="1"/>
  <c r="H98" i="8"/>
  <c r="C395" i="10" l="1"/>
  <c r="E394" i="10"/>
  <c r="J98" i="8"/>
  <c r="L98" i="8" s="1"/>
  <c r="K98" i="8"/>
  <c r="M98" i="8" s="1"/>
  <c r="H99" i="8"/>
  <c r="I98" i="8"/>
  <c r="C396" i="10" l="1"/>
  <c r="E395" i="10"/>
  <c r="J99" i="8"/>
  <c r="L99" i="8" s="1"/>
  <c r="I99" i="8"/>
  <c r="K99" i="8"/>
  <c r="M99" i="8" s="1"/>
  <c r="H100" i="8"/>
  <c r="E396" i="10" l="1"/>
  <c r="C397" i="10"/>
  <c r="I100" i="8"/>
  <c r="J100" i="8"/>
  <c r="L100" i="8" s="1"/>
  <c r="K100" i="8"/>
  <c r="M100" i="8" s="1"/>
  <c r="H101" i="8"/>
  <c r="C398" i="10" l="1"/>
  <c r="E397" i="10"/>
  <c r="K101" i="8"/>
  <c r="M101" i="8" s="1"/>
  <c r="I101" i="8"/>
  <c r="H102" i="8"/>
  <c r="J101" i="8"/>
  <c r="L101" i="8" s="1"/>
  <c r="C399" i="10" l="1"/>
  <c r="E398" i="10"/>
  <c r="K102" i="8"/>
  <c r="M102" i="8" s="1"/>
  <c r="H103" i="8"/>
  <c r="J102" i="8"/>
  <c r="L102" i="8" s="1"/>
  <c r="I102" i="8"/>
  <c r="C400" i="10" l="1"/>
  <c r="E399" i="10"/>
  <c r="J103" i="8"/>
  <c r="L103" i="8" s="1"/>
  <c r="H104" i="8"/>
  <c r="I103" i="8"/>
  <c r="K103" i="8"/>
  <c r="M103" i="8" s="1"/>
  <c r="E400" i="10" l="1"/>
  <c r="C401" i="10"/>
  <c r="I104" i="8"/>
  <c r="H105" i="8"/>
  <c r="J104" i="8"/>
  <c r="L104" i="8" s="1"/>
  <c r="K104" i="8"/>
  <c r="M104" i="8" s="1"/>
  <c r="C402" i="10" l="1"/>
  <c r="E401" i="10"/>
  <c r="K105" i="8"/>
  <c r="M105" i="8" s="1"/>
  <c r="H106" i="8"/>
  <c r="J105" i="8"/>
  <c r="L105" i="8" s="1"/>
  <c r="I105" i="8"/>
  <c r="E402" i="10" l="1"/>
  <c r="K106" i="8"/>
  <c r="M106" i="8" s="1"/>
  <c r="H107" i="8"/>
  <c r="I106" i="8"/>
  <c r="J106" i="8"/>
  <c r="L106" i="8" s="1"/>
  <c r="K107" i="8" l="1"/>
  <c r="M107" i="8" s="1"/>
  <c r="H108" i="8"/>
  <c r="I107" i="8"/>
  <c r="J107" i="8"/>
  <c r="L107" i="8" s="1"/>
  <c r="I108" i="8" l="1"/>
  <c r="H109" i="8"/>
  <c r="J108" i="8"/>
  <c r="L108" i="8" s="1"/>
  <c r="K108" i="8"/>
  <c r="M108" i="8" s="1"/>
  <c r="J109" i="8" l="1"/>
  <c r="L109" i="8" s="1"/>
  <c r="H110" i="8"/>
  <c r="K109" i="8"/>
  <c r="M109" i="8" s="1"/>
  <c r="I109" i="8"/>
  <c r="K110" i="8" l="1"/>
  <c r="M110" i="8" s="1"/>
  <c r="H111" i="8"/>
  <c r="I110" i="8"/>
  <c r="J110" i="8"/>
  <c r="L110" i="8" s="1"/>
  <c r="K111" i="8" l="1"/>
  <c r="M111" i="8" s="1"/>
  <c r="H112" i="8"/>
  <c r="I111" i="8"/>
  <c r="J111" i="8"/>
  <c r="L111" i="8" s="1"/>
  <c r="I112" i="8" l="1"/>
  <c r="H113" i="8"/>
  <c r="J112" i="8"/>
  <c r="L112" i="8" s="1"/>
  <c r="K112" i="8"/>
  <c r="M112" i="8" s="1"/>
  <c r="K113" i="8" l="1"/>
  <c r="M113" i="8" s="1"/>
  <c r="J113" i="8"/>
  <c r="L113" i="8" s="1"/>
  <c r="H114" i="8"/>
  <c r="I113" i="8"/>
  <c r="K114" i="8" l="1"/>
  <c r="M114" i="8" s="1"/>
  <c r="I114" i="8"/>
  <c r="H115" i="8"/>
  <c r="J114" i="8"/>
  <c r="L114" i="8" s="1"/>
  <c r="J115" i="8" l="1"/>
  <c r="L115" i="8" s="1"/>
  <c r="K115" i="8"/>
  <c r="M115" i="8" s="1"/>
  <c r="H116" i="8"/>
  <c r="I115" i="8"/>
  <c r="K116" i="8" l="1"/>
  <c r="M116" i="8" s="1"/>
  <c r="I116" i="8"/>
  <c r="H117" i="8"/>
  <c r="J116" i="8"/>
  <c r="L116" i="8" s="1"/>
  <c r="J117" i="8" l="1"/>
  <c r="L117" i="8" s="1"/>
  <c r="K117" i="8"/>
  <c r="M117" i="8" s="1"/>
  <c r="H118" i="8"/>
  <c r="I117" i="8"/>
  <c r="K118" i="8" l="1"/>
  <c r="M118" i="8" s="1"/>
  <c r="J118" i="8"/>
  <c r="L118" i="8" s="1"/>
  <c r="H119" i="8"/>
  <c r="I118" i="8"/>
  <c r="J119" i="8" l="1"/>
  <c r="L119" i="8" s="1"/>
  <c r="K119" i="8"/>
  <c r="M119" i="8" s="1"/>
  <c r="H120" i="8"/>
  <c r="I119" i="8"/>
  <c r="I120" i="8" l="1"/>
  <c r="J120" i="8"/>
  <c r="L120" i="8" s="1"/>
  <c r="H121" i="8"/>
  <c r="K120" i="8"/>
  <c r="M120" i="8" s="1"/>
  <c r="J121" i="8" l="1"/>
  <c r="L121" i="8" s="1"/>
  <c r="I121" i="8"/>
  <c r="H122" i="8"/>
  <c r="K121" i="8"/>
  <c r="M121" i="8" s="1"/>
  <c r="J122" i="8" l="1"/>
  <c r="L122" i="8" s="1"/>
  <c r="I122" i="8"/>
  <c r="H123" i="8"/>
  <c r="K122" i="8"/>
  <c r="M122" i="8" s="1"/>
  <c r="I123" i="8" l="1"/>
  <c r="K123" i="8"/>
  <c r="M123" i="8" s="1"/>
  <c r="H124" i="8"/>
  <c r="J123" i="8"/>
  <c r="L123" i="8" s="1"/>
  <c r="I124" i="8" l="1"/>
  <c r="J124" i="8"/>
  <c r="L124" i="8" s="1"/>
  <c r="H125" i="8"/>
  <c r="K124" i="8"/>
  <c r="M124" i="8" s="1"/>
  <c r="K125" i="8" l="1"/>
  <c r="M125" i="8" s="1"/>
  <c r="J125" i="8"/>
  <c r="L125" i="8" s="1"/>
  <c r="H126" i="8"/>
  <c r="I125" i="8"/>
  <c r="I126" i="8" l="1"/>
  <c r="J126" i="8"/>
  <c r="L126" i="8" s="1"/>
  <c r="H127" i="8"/>
  <c r="K126" i="8"/>
  <c r="M126" i="8" s="1"/>
  <c r="J127" i="8" l="1"/>
  <c r="L127" i="8" s="1"/>
  <c r="K127" i="8"/>
  <c r="M127" i="8" s="1"/>
  <c r="H128" i="8"/>
  <c r="I127" i="8"/>
  <c r="I128" i="8" l="1"/>
  <c r="J128" i="8"/>
  <c r="L128" i="8" s="1"/>
  <c r="H129" i="8"/>
  <c r="K128" i="8"/>
  <c r="M128" i="8" s="1"/>
  <c r="K129" i="8" l="1"/>
  <c r="M129" i="8" s="1"/>
  <c r="I129" i="8"/>
  <c r="H130" i="8"/>
  <c r="J129" i="8"/>
  <c r="L129" i="8" s="1"/>
  <c r="J130" i="8" l="1"/>
  <c r="L130" i="8" s="1"/>
  <c r="K130" i="8"/>
  <c r="M130" i="8" s="1"/>
  <c r="H131" i="8"/>
  <c r="I130" i="8"/>
  <c r="K131" i="8" l="1"/>
  <c r="M131" i="8" s="1"/>
  <c r="J131" i="8"/>
  <c r="L131" i="8" s="1"/>
  <c r="H132" i="8"/>
  <c r="I131" i="8"/>
  <c r="J132" i="8" l="1"/>
  <c r="L132" i="8" s="1"/>
  <c r="I132" i="8"/>
  <c r="H133" i="8"/>
  <c r="K132" i="8"/>
  <c r="M132" i="8" s="1"/>
  <c r="K133" i="8" l="1"/>
  <c r="M133" i="8" s="1"/>
  <c r="I133" i="8"/>
  <c r="H134" i="8"/>
  <c r="J133" i="8"/>
  <c r="L133" i="8" s="1"/>
  <c r="I134" i="8" l="1"/>
  <c r="J134" i="8"/>
  <c r="L134" i="8" s="1"/>
  <c r="H135" i="8"/>
  <c r="K134" i="8"/>
  <c r="M134" i="8" s="1"/>
  <c r="K135" i="8" l="1"/>
  <c r="M135" i="8" s="1"/>
  <c r="I135" i="8"/>
  <c r="H136" i="8"/>
  <c r="J135" i="8"/>
  <c r="L135" i="8" s="1"/>
  <c r="I136" i="8" l="1"/>
  <c r="K136" i="8"/>
  <c r="M136" i="8" s="1"/>
  <c r="H137" i="8"/>
  <c r="J136" i="8"/>
  <c r="L136" i="8" s="1"/>
  <c r="I137" i="8" l="1"/>
  <c r="K137" i="8"/>
  <c r="M137" i="8" s="1"/>
  <c r="H138" i="8"/>
  <c r="J137" i="8"/>
  <c r="L137" i="8" s="1"/>
  <c r="I138" i="8" l="1"/>
  <c r="J138" i="8"/>
  <c r="L138" i="8" s="1"/>
  <c r="H139" i="8"/>
  <c r="K138" i="8"/>
  <c r="M138" i="8" s="1"/>
  <c r="J139" i="8" l="1"/>
  <c r="L139" i="8" s="1"/>
  <c r="K139" i="8"/>
  <c r="M139" i="8" s="1"/>
  <c r="H140" i="8"/>
  <c r="I139" i="8"/>
  <c r="J140" i="8" l="1"/>
  <c r="L140" i="8" s="1"/>
  <c r="K140" i="8"/>
  <c r="M140" i="8" s="1"/>
  <c r="H141" i="8"/>
  <c r="I140" i="8"/>
  <c r="I141" i="8" l="1"/>
  <c r="J141" i="8"/>
  <c r="L141" i="8" s="1"/>
  <c r="H142" i="8"/>
  <c r="K141" i="8"/>
  <c r="M141" i="8" s="1"/>
  <c r="I142" i="8" l="1"/>
  <c r="K142" i="8"/>
  <c r="M142" i="8" s="1"/>
  <c r="H143" i="8"/>
  <c r="J142" i="8"/>
  <c r="L142" i="8" s="1"/>
  <c r="K143" i="8" l="1"/>
  <c r="M143" i="8" s="1"/>
  <c r="J143" i="8"/>
  <c r="L143" i="8" s="1"/>
  <c r="H144" i="8"/>
  <c r="I143" i="8"/>
  <c r="K144" i="8" l="1"/>
  <c r="M144" i="8" s="1"/>
  <c r="J144" i="8"/>
  <c r="L144" i="8" s="1"/>
  <c r="H145" i="8"/>
  <c r="I144" i="8"/>
  <c r="I145" i="8" l="1"/>
  <c r="J145" i="8"/>
  <c r="L145" i="8" s="1"/>
  <c r="H146" i="8"/>
  <c r="K145" i="8"/>
  <c r="M145" i="8" s="1"/>
  <c r="J146" i="8" l="1"/>
  <c r="L146" i="8" s="1"/>
  <c r="K146" i="8"/>
  <c r="M146" i="8" s="1"/>
  <c r="H147" i="8"/>
  <c r="I146" i="8"/>
  <c r="I147" i="8" l="1"/>
  <c r="J147" i="8"/>
  <c r="L147" i="8" s="1"/>
  <c r="H148" i="8"/>
  <c r="K147" i="8"/>
  <c r="M147" i="8" s="1"/>
  <c r="I148" i="8" l="1"/>
  <c r="J148" i="8"/>
  <c r="L148" i="8" s="1"/>
  <c r="H149" i="8"/>
  <c r="K148" i="8"/>
  <c r="M148" i="8" s="1"/>
  <c r="J149" i="8" l="1"/>
  <c r="L149" i="8" s="1"/>
  <c r="K149" i="8"/>
  <c r="M149" i="8" s="1"/>
  <c r="H150" i="8"/>
  <c r="I149" i="8"/>
  <c r="K150" i="8" l="1"/>
  <c r="M150" i="8" s="1"/>
  <c r="I150" i="8"/>
  <c r="H151" i="8"/>
  <c r="J150" i="8"/>
  <c r="L150" i="8" s="1"/>
  <c r="J151" i="8" l="1"/>
  <c r="L151" i="8" s="1"/>
  <c r="I151" i="8"/>
  <c r="H152" i="8"/>
  <c r="K151" i="8"/>
  <c r="M151" i="8" s="1"/>
  <c r="J152" i="8" l="1"/>
  <c r="L152" i="8" s="1"/>
  <c r="I152" i="8"/>
  <c r="H153" i="8"/>
  <c r="K152" i="8"/>
  <c r="M152" i="8" s="1"/>
  <c r="K153" i="8" l="1"/>
  <c r="M153" i="8" s="1"/>
  <c r="J153" i="8"/>
  <c r="L153" i="8" s="1"/>
  <c r="H154" i="8"/>
  <c r="I153" i="8"/>
  <c r="J154" i="8" l="1"/>
  <c r="L154" i="8" s="1"/>
  <c r="I154" i="8"/>
  <c r="H155" i="8"/>
  <c r="K154" i="8"/>
  <c r="M154" i="8" s="1"/>
  <c r="I155" i="8" l="1"/>
  <c r="J155" i="8"/>
  <c r="L155" i="8" s="1"/>
  <c r="H156" i="8"/>
  <c r="K155" i="8"/>
  <c r="M155" i="8" s="1"/>
  <c r="I156" i="8" l="1"/>
  <c r="K156" i="8"/>
  <c r="M156" i="8" s="1"/>
  <c r="H157" i="8"/>
  <c r="J156" i="8"/>
  <c r="L156" i="8" s="1"/>
  <c r="I157" i="8" l="1"/>
  <c r="K157" i="8"/>
  <c r="M157" i="8" s="1"/>
  <c r="H158" i="8"/>
  <c r="J157" i="8"/>
  <c r="L157" i="8" s="1"/>
  <c r="I158" i="8" l="1"/>
  <c r="J158" i="8"/>
  <c r="L158" i="8" s="1"/>
  <c r="H159" i="8"/>
  <c r="K158" i="8"/>
  <c r="M158" i="8" s="1"/>
  <c r="I159" i="8" l="1"/>
  <c r="J159" i="8"/>
  <c r="L159" i="8" s="1"/>
  <c r="H160" i="8"/>
  <c r="K159" i="8"/>
  <c r="M159" i="8" s="1"/>
  <c r="K160" i="8" l="1"/>
  <c r="M160" i="8" s="1"/>
  <c r="J160" i="8"/>
  <c r="L160" i="8" s="1"/>
  <c r="H161" i="8"/>
  <c r="I160" i="8"/>
  <c r="K161" i="8" l="1"/>
  <c r="M161" i="8" s="1"/>
  <c r="J161" i="8"/>
  <c r="L161" i="8" s="1"/>
  <c r="H162" i="8"/>
  <c r="I161" i="8"/>
  <c r="J162" i="8" l="1"/>
  <c r="L162" i="8" s="1"/>
  <c r="I162" i="8"/>
  <c r="H163" i="8"/>
  <c r="K162" i="8"/>
  <c r="M162" i="8" s="1"/>
  <c r="I163" i="8" l="1"/>
  <c r="K163" i="8"/>
  <c r="M163" i="8" s="1"/>
  <c r="H164" i="8"/>
  <c r="J163" i="8"/>
  <c r="L163" i="8" s="1"/>
  <c r="K164" i="8" l="1"/>
  <c r="M164" i="8" s="1"/>
  <c r="J164" i="8"/>
  <c r="L164" i="8" s="1"/>
  <c r="H165" i="8"/>
  <c r="I164" i="8"/>
  <c r="J165" i="8" l="1"/>
  <c r="L165" i="8" s="1"/>
  <c r="I165" i="8"/>
  <c r="H166" i="8"/>
  <c r="K165" i="8"/>
  <c r="M165" i="8" s="1"/>
  <c r="I166" i="8" l="1"/>
  <c r="K166" i="8"/>
  <c r="M166" i="8" s="1"/>
  <c r="H167" i="8"/>
  <c r="J166" i="8"/>
  <c r="L166" i="8" s="1"/>
  <c r="I167" i="8" l="1"/>
  <c r="K167" i="8"/>
  <c r="M167" i="8" s="1"/>
  <c r="H168" i="8"/>
  <c r="J167" i="8"/>
  <c r="L167" i="8" s="1"/>
  <c r="I168" i="8" l="1"/>
  <c r="J168" i="8"/>
  <c r="L168" i="8" s="1"/>
  <c r="H169" i="8"/>
  <c r="K168" i="8"/>
  <c r="M168" i="8" s="1"/>
  <c r="J169" i="8" l="1"/>
  <c r="L169" i="8" s="1"/>
  <c r="K169" i="8"/>
  <c r="M169" i="8" s="1"/>
  <c r="H170" i="8"/>
  <c r="I169" i="8"/>
  <c r="K170" i="8" l="1"/>
  <c r="M170" i="8" s="1"/>
  <c r="I170" i="8"/>
  <c r="H171" i="8"/>
  <c r="J170" i="8"/>
  <c r="L170" i="8" s="1"/>
  <c r="I171" i="8" l="1"/>
  <c r="K171" i="8"/>
  <c r="M171" i="8" s="1"/>
  <c r="H172" i="8"/>
  <c r="J171" i="8"/>
  <c r="L171" i="8" s="1"/>
  <c r="I172" i="8" l="1"/>
  <c r="J172" i="8"/>
  <c r="L172" i="8" s="1"/>
  <c r="H173" i="8"/>
  <c r="K172" i="8"/>
  <c r="M172" i="8" s="1"/>
  <c r="J173" i="8" l="1"/>
  <c r="L173" i="8" s="1"/>
  <c r="K173" i="8"/>
  <c r="M173" i="8" s="1"/>
  <c r="H174" i="8"/>
  <c r="I173" i="8"/>
  <c r="I174" i="8" l="1"/>
  <c r="J174" i="8"/>
  <c r="L174" i="8" s="1"/>
  <c r="H175" i="8"/>
  <c r="K174" i="8"/>
  <c r="M174" i="8" s="1"/>
  <c r="K175" i="8" l="1"/>
  <c r="M175" i="8" s="1"/>
  <c r="I175" i="8"/>
  <c r="H176" i="8"/>
  <c r="J175" i="8"/>
  <c r="L175" i="8" s="1"/>
  <c r="K176" i="8" l="1"/>
  <c r="M176" i="8" s="1"/>
  <c r="J176" i="8"/>
  <c r="L176" i="8" s="1"/>
  <c r="H177" i="8"/>
  <c r="I176" i="8"/>
  <c r="K177" i="8" l="1"/>
  <c r="M177" i="8" s="1"/>
  <c r="I177" i="8"/>
  <c r="H178" i="8"/>
  <c r="J177" i="8"/>
  <c r="L177" i="8" s="1"/>
  <c r="J178" i="8" l="1"/>
  <c r="L178" i="8" s="1"/>
  <c r="K178" i="8"/>
  <c r="M178" i="8" s="1"/>
  <c r="H179" i="8"/>
  <c r="I178" i="8"/>
  <c r="K179" i="8" l="1"/>
  <c r="M179" i="8" s="1"/>
  <c r="I179" i="8"/>
  <c r="H180" i="8"/>
  <c r="J179" i="8"/>
  <c r="L179" i="8" s="1"/>
  <c r="J180" i="8" l="1"/>
  <c r="L180" i="8" s="1"/>
  <c r="K180" i="8"/>
  <c r="M180" i="8" s="1"/>
  <c r="H181" i="8"/>
  <c r="I180" i="8"/>
  <c r="J181" i="8" l="1"/>
  <c r="L181" i="8" s="1"/>
  <c r="I181" i="8"/>
  <c r="H182" i="8"/>
  <c r="K181" i="8"/>
  <c r="M181" i="8" s="1"/>
  <c r="J182" i="8" l="1"/>
  <c r="L182" i="8" s="1"/>
  <c r="K182" i="8"/>
  <c r="M182" i="8" s="1"/>
  <c r="H183" i="8"/>
  <c r="I182" i="8"/>
  <c r="J183" i="8" l="1"/>
  <c r="L183" i="8" s="1"/>
  <c r="I183" i="8"/>
  <c r="H184" i="8"/>
  <c r="K183" i="8"/>
  <c r="M183" i="8" s="1"/>
  <c r="J184" i="8" l="1"/>
  <c r="L184" i="8" s="1"/>
  <c r="I184" i="8"/>
  <c r="H185" i="8"/>
  <c r="K184" i="8"/>
  <c r="M184" i="8" s="1"/>
  <c r="K185" i="8" l="1"/>
  <c r="M185" i="8" s="1"/>
  <c r="J185" i="8"/>
  <c r="L185" i="8" s="1"/>
  <c r="H186" i="8"/>
  <c r="I185" i="8"/>
  <c r="J186" i="8" l="1"/>
  <c r="L186" i="8" s="1"/>
  <c r="I186" i="8"/>
  <c r="H187" i="8"/>
  <c r="K186" i="8"/>
  <c r="M186" i="8" s="1"/>
  <c r="J187" i="8" l="1"/>
  <c r="L187" i="8" s="1"/>
  <c r="I187" i="8"/>
  <c r="H188" i="8"/>
  <c r="K187" i="8"/>
  <c r="M187" i="8" s="1"/>
  <c r="I188" i="8" l="1"/>
  <c r="K188" i="8"/>
  <c r="M188" i="8" s="1"/>
  <c r="H189" i="8"/>
  <c r="J188" i="8"/>
  <c r="L188" i="8" s="1"/>
  <c r="J189" i="8" l="1"/>
  <c r="L189" i="8" s="1"/>
  <c r="K189" i="8"/>
  <c r="M189" i="8" s="1"/>
  <c r="H190" i="8"/>
  <c r="I189" i="8"/>
  <c r="I190" i="8" l="1"/>
  <c r="J190" i="8"/>
  <c r="L190" i="8" s="1"/>
  <c r="H191" i="8"/>
  <c r="K190" i="8"/>
  <c r="M190" i="8" s="1"/>
  <c r="K191" i="8" l="1"/>
  <c r="M191" i="8" s="1"/>
  <c r="I191" i="8"/>
  <c r="H192" i="8"/>
  <c r="J191" i="8"/>
  <c r="L191" i="8" s="1"/>
  <c r="J192" i="8" l="1"/>
  <c r="L192" i="8" s="1"/>
  <c r="K192" i="8"/>
  <c r="M192" i="8" s="1"/>
  <c r="H193" i="8"/>
  <c r="I192" i="8"/>
  <c r="K193" i="8" l="1"/>
  <c r="M193" i="8" s="1"/>
  <c r="I193" i="8"/>
  <c r="H194" i="8"/>
  <c r="J193" i="8"/>
  <c r="L193" i="8" s="1"/>
  <c r="K194" i="8" l="1"/>
  <c r="M194" i="8" s="1"/>
  <c r="J194" i="8"/>
  <c r="L194" i="8" s="1"/>
  <c r="H195" i="8"/>
  <c r="I194" i="8"/>
  <c r="I195" i="8" l="1"/>
  <c r="J195" i="8"/>
  <c r="L195" i="8" s="1"/>
  <c r="H196" i="8"/>
  <c r="K195" i="8"/>
  <c r="M195" i="8" s="1"/>
  <c r="K196" i="8" l="1"/>
  <c r="M196" i="8" s="1"/>
  <c r="J196" i="8"/>
  <c r="L196" i="8" s="1"/>
  <c r="H197" i="8"/>
  <c r="I196" i="8"/>
  <c r="J197" i="8" l="1"/>
  <c r="L197" i="8" s="1"/>
  <c r="I197" i="8"/>
  <c r="H198" i="8"/>
  <c r="K197" i="8"/>
  <c r="M197" i="8" s="1"/>
  <c r="J198" i="8" l="1"/>
  <c r="L198" i="8" s="1"/>
  <c r="I198" i="8"/>
  <c r="H199" i="8"/>
  <c r="K198" i="8"/>
  <c r="M198" i="8" s="1"/>
  <c r="K199" i="8" l="1"/>
  <c r="M199" i="8" s="1"/>
  <c r="I199" i="8"/>
  <c r="H200" i="8"/>
  <c r="J199" i="8"/>
  <c r="L199" i="8" s="1"/>
  <c r="J200" i="8" l="1"/>
  <c r="L200" i="8" s="1"/>
  <c r="K200" i="8"/>
  <c r="M200" i="8" s="1"/>
  <c r="H201" i="8"/>
  <c r="I200" i="8"/>
  <c r="J201" i="8" l="1"/>
  <c r="L201" i="8" s="1"/>
  <c r="I201" i="8"/>
  <c r="H202" i="8"/>
  <c r="K201" i="8"/>
  <c r="M201" i="8" s="1"/>
  <c r="I202" i="8" l="1"/>
  <c r="J202" i="8"/>
  <c r="L202" i="8" s="1"/>
  <c r="H203" i="8"/>
  <c r="K202" i="8"/>
  <c r="M202" i="8" s="1"/>
  <c r="K203" i="8" l="1"/>
  <c r="M203" i="8" s="1"/>
  <c r="J203" i="8"/>
  <c r="L203" i="8" s="1"/>
  <c r="H204" i="8"/>
  <c r="I203" i="8"/>
  <c r="K204" i="8" l="1"/>
  <c r="M204" i="8" s="1"/>
  <c r="J204" i="8"/>
  <c r="L204" i="8" s="1"/>
  <c r="H205" i="8"/>
  <c r="I204" i="8"/>
  <c r="I205" i="8" l="1"/>
  <c r="J205" i="8"/>
  <c r="L205" i="8" s="1"/>
  <c r="H206" i="8"/>
  <c r="K205" i="8"/>
  <c r="M205" i="8" s="1"/>
  <c r="J206" i="8" l="1"/>
  <c r="L206" i="8" s="1"/>
  <c r="I206" i="8"/>
  <c r="H207" i="8"/>
  <c r="K206" i="8"/>
  <c r="M206" i="8" s="1"/>
  <c r="I207" i="8" l="1"/>
  <c r="K207" i="8"/>
  <c r="M207" i="8" s="1"/>
  <c r="H208" i="8"/>
  <c r="J207" i="8"/>
  <c r="L207" i="8" s="1"/>
  <c r="J208" i="8" l="1"/>
  <c r="L208" i="8" s="1"/>
  <c r="I208" i="8"/>
  <c r="H209" i="8"/>
  <c r="K208" i="8"/>
  <c r="M208" i="8" s="1"/>
  <c r="K209" i="8" l="1"/>
  <c r="M209" i="8" s="1"/>
  <c r="I209" i="8"/>
  <c r="H210" i="8"/>
  <c r="J209" i="8"/>
  <c r="L209" i="8" s="1"/>
  <c r="K210" i="8" l="1"/>
  <c r="M210" i="8" s="1"/>
  <c r="J210" i="8"/>
  <c r="L210" i="8" s="1"/>
  <c r="H211" i="8"/>
  <c r="I210" i="8"/>
  <c r="J211" i="8" l="1"/>
  <c r="L211" i="8" s="1"/>
  <c r="K211" i="8"/>
  <c r="M211" i="8" s="1"/>
  <c r="H212" i="8"/>
  <c r="I211" i="8"/>
  <c r="I212" i="8" l="1"/>
  <c r="K212" i="8"/>
  <c r="M212" i="8" s="1"/>
  <c r="H213" i="8"/>
  <c r="J212" i="8"/>
  <c r="L212" i="8" s="1"/>
  <c r="K213" i="8" l="1"/>
  <c r="M213" i="8" s="1"/>
  <c r="J213" i="8"/>
  <c r="L213" i="8" s="1"/>
  <c r="H214" i="8"/>
  <c r="I213" i="8"/>
  <c r="J214" i="8" l="1"/>
  <c r="L214" i="8" s="1"/>
  <c r="I214" i="8"/>
  <c r="H215" i="8"/>
  <c r="K214" i="8"/>
  <c r="M214" i="8" s="1"/>
  <c r="I215" i="8" l="1"/>
  <c r="K215" i="8"/>
  <c r="M215" i="8" s="1"/>
  <c r="H216" i="8"/>
  <c r="J215" i="8"/>
  <c r="L215" i="8" s="1"/>
  <c r="J216" i="8" l="1"/>
  <c r="L216" i="8" s="1"/>
  <c r="K216" i="8"/>
  <c r="M216" i="8" s="1"/>
  <c r="H217" i="8"/>
  <c r="I216" i="8"/>
  <c r="K217" i="8" l="1"/>
  <c r="M217" i="8" s="1"/>
  <c r="I217" i="8"/>
  <c r="H218" i="8"/>
  <c r="J217" i="8"/>
  <c r="L217" i="8" s="1"/>
  <c r="I218" i="8" l="1"/>
  <c r="K218" i="8"/>
  <c r="M218" i="8" s="1"/>
  <c r="H219" i="8"/>
  <c r="J218" i="8"/>
  <c r="L218" i="8" s="1"/>
  <c r="J219" i="8" l="1"/>
  <c r="L219" i="8" s="1"/>
  <c r="K219" i="8"/>
  <c r="M219" i="8" s="1"/>
  <c r="H220" i="8"/>
  <c r="I219" i="8"/>
  <c r="J220" i="8" l="1"/>
  <c r="L220" i="8" s="1"/>
  <c r="K220" i="8"/>
  <c r="M220" i="8" s="1"/>
  <c r="H221" i="8"/>
  <c r="I220" i="8"/>
  <c r="I221" i="8" l="1"/>
  <c r="K221" i="8"/>
  <c r="M221" i="8" s="1"/>
  <c r="H222" i="8"/>
  <c r="J221" i="8"/>
  <c r="L221" i="8" s="1"/>
  <c r="I222" i="8" l="1"/>
  <c r="K222" i="8"/>
  <c r="M222" i="8" s="1"/>
  <c r="H223" i="8"/>
  <c r="J222" i="8"/>
  <c r="L222" i="8" s="1"/>
  <c r="K223" i="8" l="1"/>
  <c r="M223" i="8" s="1"/>
  <c r="I223" i="8"/>
  <c r="H224" i="8"/>
  <c r="J223" i="8"/>
  <c r="L223" i="8" s="1"/>
  <c r="J224" i="8" l="1"/>
  <c r="L224" i="8" s="1"/>
  <c r="K224" i="8"/>
  <c r="M224" i="8" s="1"/>
  <c r="H225" i="8"/>
  <c r="I224" i="8"/>
  <c r="J225" i="8" l="1"/>
  <c r="L225" i="8" s="1"/>
  <c r="I225" i="8"/>
  <c r="H226" i="8"/>
  <c r="K225" i="8"/>
  <c r="M225" i="8" s="1"/>
  <c r="I226" i="8" l="1"/>
  <c r="J226" i="8"/>
  <c r="L226" i="8" s="1"/>
  <c r="H227" i="8"/>
  <c r="K226" i="8"/>
  <c r="M226" i="8" s="1"/>
  <c r="I227" i="8" l="1"/>
  <c r="J227" i="8"/>
  <c r="L227" i="8" s="1"/>
  <c r="H228" i="8"/>
  <c r="K227" i="8"/>
  <c r="M227" i="8" s="1"/>
  <c r="J228" i="8" l="1"/>
  <c r="L228" i="8" s="1"/>
  <c r="K228" i="8"/>
  <c r="M228" i="8" s="1"/>
  <c r="H229" i="8"/>
  <c r="I228" i="8"/>
  <c r="J229" i="8" l="1"/>
  <c r="L229" i="8" s="1"/>
  <c r="H230" i="8"/>
  <c r="I229" i="8"/>
  <c r="K229" i="8"/>
  <c r="M229" i="8" s="1"/>
  <c r="K230" i="8" l="1"/>
  <c r="M230" i="8" s="1"/>
  <c r="J230" i="8"/>
  <c r="L230" i="8" s="1"/>
  <c r="H231" i="8"/>
  <c r="I230" i="8"/>
  <c r="K231" i="8" l="1"/>
  <c r="M231" i="8" s="1"/>
  <c r="J231" i="8"/>
  <c r="L231" i="8" s="1"/>
  <c r="H232" i="8"/>
  <c r="I231" i="8"/>
  <c r="K232" i="8" l="1"/>
  <c r="M232" i="8" s="1"/>
  <c r="J232" i="8"/>
  <c r="L232" i="8" s="1"/>
  <c r="H233" i="8"/>
  <c r="I232" i="8"/>
  <c r="J233" i="8" l="1"/>
  <c r="L233" i="8" s="1"/>
  <c r="I233" i="8"/>
  <c r="H234" i="8"/>
  <c r="K233" i="8"/>
  <c r="M233" i="8" s="1"/>
  <c r="K234" i="8" l="1"/>
  <c r="M234" i="8" s="1"/>
  <c r="J234" i="8"/>
  <c r="L234" i="8" s="1"/>
  <c r="I234" i="8"/>
  <c r="H235" i="8"/>
  <c r="J235" i="8" l="1"/>
  <c r="L235" i="8" s="1"/>
  <c r="K235" i="8"/>
  <c r="M235" i="8" s="1"/>
  <c r="I235" i="8"/>
  <c r="H236" i="8"/>
  <c r="J236" i="8" l="1"/>
  <c r="L236" i="8" s="1"/>
  <c r="K236" i="8"/>
  <c r="M236" i="8" s="1"/>
  <c r="I236" i="8"/>
  <c r="H237" i="8"/>
  <c r="I237" i="8" l="1"/>
  <c r="K237" i="8"/>
  <c r="M237" i="8" s="1"/>
  <c r="J237" i="8"/>
  <c r="L237" i="8" s="1"/>
  <c r="H238" i="8"/>
  <c r="K238" i="8" l="1"/>
  <c r="M238" i="8" s="1"/>
  <c r="J238" i="8"/>
  <c r="L238" i="8" s="1"/>
  <c r="I238" i="8"/>
  <c r="H239" i="8"/>
  <c r="J239" i="8" l="1"/>
  <c r="L239" i="8" s="1"/>
  <c r="K239" i="8"/>
  <c r="M239" i="8" s="1"/>
  <c r="I239" i="8"/>
  <c r="H240" i="8"/>
  <c r="K240" i="8" l="1"/>
  <c r="M240" i="8" s="1"/>
  <c r="J240" i="8"/>
  <c r="L240" i="8" s="1"/>
  <c r="I240" i="8"/>
  <c r="H241" i="8"/>
  <c r="I241" i="8" l="1"/>
  <c r="K241" i="8"/>
  <c r="M241" i="8" s="1"/>
  <c r="J241" i="8"/>
  <c r="L241" i="8" s="1"/>
  <c r="H242" i="8"/>
  <c r="I242" i="8" l="1"/>
  <c r="J242" i="8"/>
  <c r="L242" i="8" s="1"/>
  <c r="K242" i="8"/>
  <c r="M242" i="8" s="1"/>
  <c r="H243" i="8"/>
  <c r="I243" i="8" l="1"/>
  <c r="J243" i="8"/>
  <c r="L243" i="8" s="1"/>
  <c r="K243" i="8"/>
  <c r="M243" i="8" s="1"/>
  <c r="H244" i="8"/>
  <c r="J244" i="8" l="1"/>
  <c r="L244" i="8" s="1"/>
  <c r="I244" i="8"/>
  <c r="K244" i="8"/>
  <c r="M244" i="8" s="1"/>
  <c r="H245" i="8"/>
  <c r="J245" i="8" l="1"/>
  <c r="L245" i="8" s="1"/>
  <c r="I245" i="8"/>
  <c r="K245" i="8"/>
  <c r="M245" i="8" s="1"/>
  <c r="H246" i="8"/>
  <c r="J246" i="8" l="1"/>
  <c r="L246" i="8" s="1"/>
  <c r="I246" i="8"/>
  <c r="K246" i="8"/>
  <c r="M246" i="8" s="1"/>
  <c r="H247" i="8"/>
  <c r="I247" i="8" l="1"/>
  <c r="J247" i="8"/>
  <c r="L247" i="8" s="1"/>
  <c r="K247" i="8"/>
  <c r="M247" i="8" s="1"/>
  <c r="H248" i="8"/>
  <c r="I248" i="8" l="1"/>
  <c r="J248" i="8"/>
  <c r="L248" i="8" s="1"/>
  <c r="K248" i="8"/>
  <c r="M248" i="8" s="1"/>
  <c r="H249" i="8"/>
  <c r="I249" i="8" l="1"/>
  <c r="J249" i="8"/>
  <c r="L249" i="8" s="1"/>
  <c r="K249" i="8"/>
  <c r="M249" i="8" s="1"/>
  <c r="H250" i="8"/>
  <c r="J250" i="8" l="1"/>
  <c r="L250" i="8" s="1"/>
  <c r="I250" i="8"/>
  <c r="K250" i="8"/>
  <c r="M250" i="8" s="1"/>
  <c r="H251" i="8"/>
  <c r="I251" i="8" l="1"/>
  <c r="K251" i="8"/>
  <c r="M251" i="8" s="1"/>
  <c r="J251" i="8"/>
  <c r="L251" i="8" s="1"/>
  <c r="H252" i="8"/>
  <c r="I252" i="8" l="1"/>
  <c r="K252" i="8"/>
  <c r="M252" i="8" s="1"/>
  <c r="J252" i="8"/>
  <c r="L252" i="8" s="1"/>
  <c r="H253" i="8"/>
  <c r="K253" i="8" l="1"/>
  <c r="M253" i="8" s="1"/>
  <c r="I253" i="8"/>
  <c r="J253" i="8"/>
  <c r="L253" i="8" s="1"/>
  <c r="H254" i="8"/>
  <c r="K254" i="8" l="1"/>
  <c r="M254" i="8" s="1"/>
  <c r="J254" i="8"/>
  <c r="L254" i="8" s="1"/>
  <c r="I254" i="8"/>
  <c r="H255" i="8"/>
  <c r="I255" i="8" l="1"/>
  <c r="J255" i="8"/>
  <c r="L255" i="8" s="1"/>
  <c r="K255" i="8"/>
  <c r="M255" i="8" s="1"/>
  <c r="H256" i="8"/>
  <c r="J256" i="8" l="1"/>
  <c r="L256" i="8" s="1"/>
  <c r="K256" i="8"/>
  <c r="M256" i="8" s="1"/>
  <c r="I256" i="8"/>
  <c r="H257" i="8"/>
  <c r="J257" i="8" l="1"/>
  <c r="L257" i="8" s="1"/>
  <c r="I257" i="8"/>
  <c r="K257" i="8"/>
  <c r="M257" i="8" s="1"/>
  <c r="H258" i="8"/>
  <c r="J258" i="8" l="1"/>
  <c r="L258" i="8" s="1"/>
  <c r="K258" i="8"/>
  <c r="M258" i="8" s="1"/>
  <c r="I258" i="8"/>
  <c r="H259" i="8"/>
  <c r="K259" i="8" l="1"/>
  <c r="M259" i="8" s="1"/>
  <c r="J259" i="8"/>
  <c r="L259" i="8" s="1"/>
  <c r="I259" i="8"/>
  <c r="H260" i="8"/>
  <c r="K260" i="8" l="1"/>
  <c r="M260" i="8" s="1"/>
  <c r="I260" i="8"/>
  <c r="J260" i="8"/>
  <c r="L260" i="8" s="1"/>
  <c r="H261" i="8"/>
  <c r="I261" i="8" l="1"/>
  <c r="J261" i="8"/>
  <c r="L261" i="8" s="1"/>
  <c r="K261" i="8"/>
  <c r="M261" i="8" s="1"/>
  <c r="H262" i="8"/>
  <c r="K262" i="8" l="1"/>
  <c r="M262" i="8" s="1"/>
  <c r="I262" i="8"/>
  <c r="J262" i="8"/>
  <c r="L262" i="8" s="1"/>
  <c r="H263" i="8"/>
  <c r="I263" i="8" l="1"/>
  <c r="J263" i="8"/>
  <c r="L263" i="8" s="1"/>
  <c r="K263" i="8"/>
  <c r="M263" i="8" s="1"/>
  <c r="H264" i="8"/>
  <c r="I264" i="8" l="1"/>
  <c r="J264" i="8"/>
  <c r="L264" i="8" s="1"/>
  <c r="K264" i="8"/>
  <c r="M264" i="8" s="1"/>
  <c r="H265" i="8"/>
  <c r="I265" i="8" l="1"/>
  <c r="K265" i="8"/>
  <c r="M265" i="8" s="1"/>
  <c r="J265" i="8"/>
  <c r="L265" i="8" s="1"/>
  <c r="H266" i="8"/>
  <c r="I266" i="8" l="1"/>
  <c r="K266" i="8"/>
  <c r="M266" i="8" s="1"/>
  <c r="J266" i="8"/>
  <c r="L266" i="8" s="1"/>
  <c r="H267" i="8"/>
  <c r="J267" i="8" l="1"/>
  <c r="L267" i="8" s="1"/>
  <c r="K267" i="8"/>
  <c r="M267" i="8" s="1"/>
  <c r="I267" i="8"/>
  <c r="H268" i="8"/>
  <c r="K268" i="8" l="1"/>
  <c r="M268" i="8" s="1"/>
  <c r="I268" i="8"/>
  <c r="J268" i="8"/>
  <c r="L268" i="8" s="1"/>
  <c r="H269" i="8"/>
  <c r="I269" i="8" l="1"/>
  <c r="K269" i="8"/>
  <c r="M269" i="8" s="1"/>
  <c r="J269" i="8"/>
  <c r="L269" i="8" s="1"/>
  <c r="H270" i="8"/>
  <c r="J270" i="8" l="1"/>
  <c r="L270" i="8" s="1"/>
  <c r="K270" i="8"/>
  <c r="M270" i="8" s="1"/>
  <c r="I270" i="8"/>
  <c r="H271" i="8"/>
  <c r="I271" i="8" l="1"/>
  <c r="J271" i="8"/>
  <c r="L271" i="8" s="1"/>
  <c r="K271" i="8"/>
  <c r="M271" i="8" s="1"/>
  <c r="H272" i="8"/>
  <c r="I272" i="8" l="1"/>
  <c r="K272" i="8"/>
  <c r="M272" i="8" s="1"/>
  <c r="J272" i="8"/>
  <c r="L272" i="8" s="1"/>
  <c r="H273" i="8"/>
  <c r="J273" i="8" l="1"/>
  <c r="L273" i="8" s="1"/>
  <c r="I273" i="8"/>
  <c r="K273" i="8"/>
  <c r="M273" i="8" s="1"/>
  <c r="H274" i="8"/>
  <c r="K274" i="8" l="1"/>
  <c r="M274" i="8" s="1"/>
  <c r="I274" i="8"/>
  <c r="J274" i="8"/>
  <c r="L274" i="8" s="1"/>
  <c r="H275" i="8"/>
  <c r="J275" i="8" l="1"/>
  <c r="L275" i="8" s="1"/>
  <c r="K275" i="8"/>
  <c r="M275" i="8" s="1"/>
  <c r="I275" i="8"/>
  <c r="H276" i="8"/>
  <c r="I276" i="8" l="1"/>
  <c r="J276" i="8"/>
  <c r="L276" i="8" s="1"/>
  <c r="K276" i="8"/>
  <c r="M276" i="8" s="1"/>
  <c r="H277" i="8"/>
  <c r="I277" i="8" l="1"/>
  <c r="J277" i="8"/>
  <c r="L277" i="8" s="1"/>
  <c r="K277" i="8"/>
  <c r="M277" i="8" s="1"/>
  <c r="H278" i="8"/>
  <c r="K278" i="8" l="1"/>
  <c r="M278" i="8" s="1"/>
  <c r="I278" i="8"/>
  <c r="J278" i="8"/>
  <c r="L278" i="8" s="1"/>
  <c r="H279" i="8"/>
  <c r="J279" i="8" l="1"/>
  <c r="L279" i="8" s="1"/>
  <c r="K279" i="8"/>
  <c r="M279" i="8" s="1"/>
  <c r="I279" i="8"/>
  <c r="H280" i="8"/>
  <c r="J280" i="8" l="1"/>
  <c r="L280" i="8" s="1"/>
  <c r="I280" i="8"/>
  <c r="K280" i="8"/>
  <c r="M280" i="8" s="1"/>
  <c r="H281" i="8"/>
  <c r="K281" i="8" l="1"/>
  <c r="M281" i="8" s="1"/>
  <c r="I281" i="8"/>
  <c r="J281" i="8"/>
  <c r="L281" i="8" s="1"/>
  <c r="H282" i="8"/>
  <c r="I282" i="8" l="1"/>
  <c r="J282" i="8"/>
  <c r="L282" i="8" s="1"/>
  <c r="K282" i="8"/>
  <c r="M282" i="8" s="1"/>
  <c r="H283" i="8"/>
  <c r="K283" i="8" l="1"/>
  <c r="M283" i="8" s="1"/>
  <c r="I283" i="8"/>
  <c r="J283" i="8"/>
  <c r="L283" i="8" s="1"/>
  <c r="H284" i="8"/>
  <c r="J284" i="8" l="1"/>
  <c r="L284" i="8" s="1"/>
  <c r="I284" i="8"/>
  <c r="K284" i="8"/>
  <c r="M284" i="8" s="1"/>
  <c r="H285" i="8"/>
  <c r="K285" i="8" l="1"/>
  <c r="M285" i="8" s="1"/>
  <c r="I285" i="8"/>
  <c r="J285" i="8"/>
  <c r="L285" i="8" s="1"/>
  <c r="H286" i="8"/>
  <c r="J286" i="8" l="1"/>
  <c r="L286" i="8" s="1"/>
  <c r="I286" i="8"/>
  <c r="K286" i="8"/>
  <c r="M286" i="8" s="1"/>
  <c r="H287" i="8"/>
  <c r="J287" i="8" l="1"/>
  <c r="L287" i="8" s="1"/>
  <c r="K287" i="8"/>
  <c r="M287" i="8" s="1"/>
  <c r="I287" i="8"/>
  <c r="H288" i="8"/>
  <c r="J288" i="8" l="1"/>
  <c r="L288" i="8" s="1"/>
  <c r="K288" i="8"/>
  <c r="M288" i="8" s="1"/>
  <c r="I288" i="8"/>
  <c r="H289" i="8"/>
  <c r="I289" i="8" l="1"/>
  <c r="J289" i="8"/>
  <c r="L289" i="8" s="1"/>
  <c r="K289" i="8"/>
  <c r="M289" i="8" s="1"/>
  <c r="H290" i="8"/>
  <c r="K290" i="8" l="1"/>
  <c r="M290" i="8" s="1"/>
  <c r="J290" i="8"/>
  <c r="L290" i="8" s="1"/>
  <c r="I290" i="8"/>
  <c r="H291" i="8"/>
  <c r="I291" i="8" l="1"/>
  <c r="K291" i="8"/>
  <c r="M291" i="8" s="1"/>
  <c r="J291" i="8"/>
  <c r="L291" i="8" s="1"/>
  <c r="H292" i="8"/>
  <c r="I292" i="8" l="1"/>
  <c r="K292" i="8"/>
  <c r="M292" i="8" s="1"/>
  <c r="J292" i="8"/>
  <c r="L292" i="8" s="1"/>
  <c r="H293" i="8"/>
  <c r="I293" i="8" l="1"/>
  <c r="J293" i="8"/>
  <c r="L293" i="8" s="1"/>
  <c r="K293" i="8"/>
  <c r="M293" i="8" s="1"/>
  <c r="H294" i="8"/>
  <c r="J294" i="8" l="1"/>
  <c r="L294" i="8" s="1"/>
  <c r="I294" i="8"/>
  <c r="K294" i="8"/>
  <c r="M294" i="8" s="1"/>
  <c r="H295" i="8"/>
  <c r="I295" i="8" l="1"/>
  <c r="K295" i="8"/>
  <c r="M295" i="8" s="1"/>
  <c r="J295" i="8"/>
  <c r="L295" i="8" s="1"/>
  <c r="H296" i="8"/>
  <c r="J296" i="8" l="1"/>
  <c r="L296" i="8" s="1"/>
  <c r="I296" i="8"/>
  <c r="K296" i="8"/>
  <c r="M296" i="8" s="1"/>
  <c r="H297" i="8"/>
  <c r="J297" i="8" l="1"/>
  <c r="L297" i="8" s="1"/>
  <c r="I297" i="8"/>
  <c r="K297" i="8"/>
  <c r="M297" i="8" s="1"/>
  <c r="H298" i="8"/>
  <c r="J298" i="8" l="1"/>
  <c r="L298" i="8" s="1"/>
  <c r="K298" i="8"/>
  <c r="M298" i="8" s="1"/>
  <c r="I298" i="8"/>
  <c r="H299" i="8"/>
  <c r="J299" i="8" l="1"/>
  <c r="L299" i="8" s="1"/>
  <c r="K299" i="8"/>
  <c r="M299" i="8" s="1"/>
  <c r="I299" i="8"/>
  <c r="H300" i="8"/>
  <c r="J300" i="8" l="1"/>
  <c r="L300" i="8" s="1"/>
  <c r="K300" i="8"/>
  <c r="M300" i="8" s="1"/>
  <c r="I300" i="8"/>
  <c r="H301" i="8"/>
  <c r="K301" i="8" l="1"/>
  <c r="M301" i="8" s="1"/>
  <c r="J301" i="8"/>
  <c r="L301" i="8" s="1"/>
  <c r="I301" i="8"/>
  <c r="H302" i="8"/>
  <c r="J302" i="8" l="1"/>
  <c r="L302" i="8" s="1"/>
  <c r="K302" i="8"/>
  <c r="M302" i="8" s="1"/>
  <c r="I302" i="8"/>
  <c r="H303" i="8"/>
  <c r="I303" i="8" l="1"/>
  <c r="J303" i="8"/>
  <c r="L303" i="8" s="1"/>
  <c r="K303" i="8"/>
  <c r="M303" i="8" s="1"/>
  <c r="H304" i="8"/>
  <c r="J304" i="8" l="1"/>
  <c r="L304" i="8" s="1"/>
  <c r="I304" i="8"/>
  <c r="K304" i="8"/>
  <c r="M304" i="8" s="1"/>
  <c r="H305" i="8"/>
  <c r="I305" i="8" l="1"/>
  <c r="K305" i="8"/>
  <c r="M305" i="8" s="1"/>
  <c r="J305" i="8"/>
  <c r="L305" i="8" s="1"/>
  <c r="H306" i="8"/>
  <c r="I306" i="8" l="1"/>
  <c r="J306" i="8"/>
  <c r="L306" i="8" s="1"/>
  <c r="K306" i="8"/>
  <c r="M306" i="8" s="1"/>
  <c r="H307" i="8"/>
  <c r="K307" i="8" l="1"/>
  <c r="M307" i="8" s="1"/>
  <c r="I307" i="8"/>
  <c r="J307" i="8"/>
  <c r="L307" i="8" s="1"/>
  <c r="H308" i="8"/>
  <c r="K308" i="8" l="1"/>
  <c r="M308" i="8" s="1"/>
  <c r="I308" i="8"/>
  <c r="J308" i="8"/>
  <c r="L308" i="8" s="1"/>
  <c r="H309" i="8"/>
  <c r="I309" i="8" l="1"/>
  <c r="J309" i="8"/>
  <c r="L309" i="8" s="1"/>
  <c r="K309" i="8"/>
  <c r="M309" i="8" s="1"/>
  <c r="H310" i="8"/>
  <c r="I310" i="8" l="1"/>
  <c r="K310" i="8"/>
  <c r="M310" i="8" s="1"/>
  <c r="J310" i="8"/>
  <c r="L310" i="8" s="1"/>
  <c r="H311" i="8"/>
  <c r="I311" i="8" l="1"/>
  <c r="K311" i="8"/>
  <c r="M311" i="8" s="1"/>
  <c r="J311" i="8"/>
  <c r="L311" i="8" s="1"/>
  <c r="H312" i="8"/>
  <c r="K312" i="8" l="1"/>
  <c r="M312" i="8" s="1"/>
  <c r="I312" i="8"/>
  <c r="J312" i="8"/>
  <c r="L312" i="8" s="1"/>
  <c r="H313" i="8"/>
  <c r="J313" i="8" l="1"/>
  <c r="L313" i="8" s="1"/>
  <c r="I313" i="8"/>
  <c r="K313" i="8"/>
  <c r="M313" i="8" s="1"/>
  <c r="H314" i="8"/>
  <c r="I314" i="8" l="1"/>
  <c r="K314" i="8"/>
  <c r="M314" i="8" s="1"/>
  <c r="J314" i="8"/>
  <c r="L314" i="8" s="1"/>
  <c r="H315" i="8"/>
  <c r="I315" i="8" l="1"/>
  <c r="K315" i="8"/>
  <c r="M315" i="8" s="1"/>
  <c r="J315" i="8"/>
  <c r="L315" i="8" s="1"/>
  <c r="H316" i="8"/>
  <c r="J316" i="8" l="1"/>
  <c r="L316" i="8" s="1"/>
  <c r="I316" i="8"/>
  <c r="K316" i="8"/>
  <c r="M316" i="8" s="1"/>
  <c r="H317" i="8"/>
  <c r="I317" i="8" l="1"/>
  <c r="J317" i="8"/>
  <c r="L317" i="8" s="1"/>
  <c r="K317" i="8"/>
  <c r="M317" i="8" s="1"/>
  <c r="H318" i="8"/>
  <c r="J318" i="8" l="1"/>
  <c r="L318" i="8" s="1"/>
  <c r="I318" i="8"/>
  <c r="K318" i="8"/>
  <c r="M318" i="8" s="1"/>
  <c r="H319" i="8"/>
  <c r="J319" i="8" l="1"/>
  <c r="L319" i="8" s="1"/>
  <c r="K319" i="8"/>
  <c r="M319" i="8" s="1"/>
  <c r="I319" i="8"/>
  <c r="H320" i="8"/>
  <c r="J320" i="8" l="1"/>
  <c r="L320" i="8" s="1"/>
  <c r="I320" i="8"/>
  <c r="K320" i="8"/>
  <c r="M320" i="8" s="1"/>
  <c r="H321" i="8"/>
  <c r="I321" i="8" l="1"/>
  <c r="J321" i="8"/>
  <c r="L321" i="8" s="1"/>
  <c r="K321" i="8"/>
  <c r="M321" i="8" s="1"/>
  <c r="H322" i="8"/>
  <c r="I322" i="8" l="1"/>
  <c r="K322" i="8"/>
  <c r="M322" i="8" s="1"/>
  <c r="J322" i="8"/>
  <c r="L322" i="8" s="1"/>
  <c r="H323" i="8"/>
  <c r="K323" i="8" l="1"/>
  <c r="M323" i="8" s="1"/>
  <c r="I323" i="8"/>
  <c r="J323" i="8"/>
  <c r="L323" i="8" s="1"/>
  <c r="H324" i="8"/>
  <c r="K324" i="8" l="1"/>
  <c r="M324" i="8" s="1"/>
  <c r="J324" i="8"/>
  <c r="L324" i="8" s="1"/>
  <c r="I324" i="8"/>
  <c r="H325" i="8"/>
  <c r="I325" i="8" l="1"/>
  <c r="K325" i="8"/>
  <c r="M325" i="8" s="1"/>
  <c r="J325" i="8"/>
  <c r="L325" i="8" s="1"/>
  <c r="H326" i="8"/>
  <c r="K326" i="8" l="1"/>
  <c r="M326" i="8" s="1"/>
  <c r="I326" i="8"/>
  <c r="J326" i="8"/>
  <c r="L326" i="8" s="1"/>
  <c r="H327" i="8"/>
  <c r="I327" i="8" l="1"/>
  <c r="J327" i="8"/>
  <c r="L327" i="8" s="1"/>
  <c r="K327" i="8"/>
  <c r="M327" i="8" s="1"/>
  <c r="H328" i="8"/>
  <c r="J328" i="8" l="1"/>
  <c r="L328" i="8" s="1"/>
  <c r="I328" i="8"/>
  <c r="K328" i="8"/>
  <c r="M328" i="8" s="1"/>
  <c r="H329" i="8"/>
  <c r="I329" i="8" l="1"/>
  <c r="J329" i="8"/>
  <c r="L329" i="8" s="1"/>
  <c r="K329" i="8"/>
  <c r="M329" i="8" s="1"/>
  <c r="H330" i="8"/>
  <c r="J330" i="8" l="1"/>
  <c r="L330" i="8" s="1"/>
  <c r="K330" i="8"/>
  <c r="M330" i="8" s="1"/>
  <c r="I330" i="8"/>
  <c r="H331" i="8"/>
  <c r="K331" i="8" l="1"/>
  <c r="M331" i="8" s="1"/>
  <c r="I331" i="8"/>
  <c r="J331" i="8"/>
  <c r="L331" i="8" s="1"/>
  <c r="H332" i="8"/>
  <c r="K332" i="8" l="1"/>
  <c r="M332" i="8" s="1"/>
  <c r="J332" i="8"/>
  <c r="L332" i="8" s="1"/>
  <c r="I332" i="8"/>
  <c r="H333" i="8"/>
  <c r="J333" i="8" l="1"/>
  <c r="L333" i="8" s="1"/>
  <c r="I333" i="8"/>
  <c r="K333" i="8"/>
  <c r="M333" i="8" s="1"/>
  <c r="H334" i="8"/>
  <c r="J334" i="8" l="1"/>
  <c r="L334" i="8" s="1"/>
  <c r="I334" i="8"/>
  <c r="K334" i="8"/>
  <c r="M334" i="8" s="1"/>
  <c r="H335" i="8"/>
  <c r="I335" i="8" l="1"/>
  <c r="K335" i="8"/>
  <c r="M335" i="8" s="1"/>
  <c r="J335" i="8"/>
  <c r="L335" i="8" s="1"/>
  <c r="H336" i="8"/>
  <c r="I336" i="8" l="1"/>
  <c r="J336" i="8"/>
  <c r="L336" i="8" s="1"/>
  <c r="K336" i="8"/>
  <c r="M336" i="8" s="1"/>
  <c r="H337" i="8"/>
  <c r="K337" i="8" l="1"/>
  <c r="M337" i="8" s="1"/>
  <c r="J337" i="8"/>
  <c r="L337" i="8" s="1"/>
  <c r="I337" i="8"/>
  <c r="H338" i="8"/>
  <c r="J338" i="8" l="1"/>
  <c r="L338" i="8" s="1"/>
  <c r="I338" i="8"/>
  <c r="K338" i="8"/>
  <c r="M338" i="8" s="1"/>
  <c r="H339" i="8"/>
  <c r="K339" i="8" l="1"/>
  <c r="M339" i="8" s="1"/>
  <c r="I339" i="8"/>
  <c r="J339" i="8"/>
  <c r="L339" i="8" s="1"/>
  <c r="H340" i="8"/>
  <c r="K340" i="8" l="1"/>
  <c r="M340" i="8" s="1"/>
  <c r="I340" i="8"/>
  <c r="J340" i="8"/>
  <c r="L340" i="8" s="1"/>
  <c r="H341" i="8"/>
  <c r="I341" i="8" l="1"/>
  <c r="J341" i="8"/>
  <c r="L341" i="8" s="1"/>
  <c r="K341" i="8"/>
  <c r="M341" i="8" s="1"/>
  <c r="H342" i="8"/>
  <c r="I342" i="8" l="1"/>
  <c r="K342" i="8"/>
  <c r="M342" i="8" s="1"/>
  <c r="J342" i="8"/>
  <c r="L342" i="8" s="1"/>
  <c r="H343" i="8"/>
  <c r="I343" i="8" l="1"/>
  <c r="K343" i="8"/>
  <c r="M343" i="8" s="1"/>
  <c r="J343" i="8"/>
  <c r="L343" i="8" s="1"/>
  <c r="H344" i="8"/>
  <c r="K344" i="8" l="1"/>
  <c r="M344" i="8" s="1"/>
  <c r="I344" i="8"/>
  <c r="J344" i="8"/>
  <c r="L344" i="8" s="1"/>
  <c r="H345" i="8"/>
  <c r="K345" i="8" l="1"/>
  <c r="M345" i="8" s="1"/>
  <c r="J345" i="8"/>
  <c r="L345" i="8" s="1"/>
  <c r="I345" i="8"/>
  <c r="H346" i="8"/>
  <c r="J346" i="8" l="1"/>
  <c r="L346" i="8" s="1"/>
  <c r="K346" i="8"/>
  <c r="M346" i="8" s="1"/>
  <c r="I346" i="8"/>
  <c r="H347" i="8"/>
  <c r="I347" i="8" l="1"/>
  <c r="J347" i="8"/>
  <c r="L347" i="8" s="1"/>
  <c r="K347" i="8"/>
  <c r="M347" i="8" s="1"/>
  <c r="H348" i="8"/>
  <c r="K348" i="8" l="1"/>
  <c r="M348" i="8" s="1"/>
  <c r="J348" i="8"/>
  <c r="L348" i="8" s="1"/>
  <c r="I348" i="8"/>
  <c r="H349" i="8"/>
  <c r="I349" i="8" l="1"/>
  <c r="J349" i="8"/>
  <c r="L349" i="8" s="1"/>
  <c r="K349" i="8"/>
  <c r="M349" i="8" s="1"/>
  <c r="H350" i="8"/>
  <c r="I350" i="8" l="1"/>
  <c r="K350" i="8"/>
  <c r="M350" i="8" s="1"/>
  <c r="J350" i="8"/>
  <c r="L350" i="8" s="1"/>
  <c r="H351" i="8"/>
  <c r="J351" i="8" l="1"/>
  <c r="L351" i="8" s="1"/>
  <c r="K351" i="8"/>
  <c r="M351" i="8" s="1"/>
  <c r="I351" i="8"/>
  <c r="H352" i="8"/>
  <c r="I352" i="8" l="1"/>
  <c r="K352" i="8"/>
  <c r="M352" i="8" s="1"/>
  <c r="J352" i="8"/>
  <c r="L352" i="8" s="1"/>
  <c r="H353" i="8"/>
  <c r="I353" i="8" l="1"/>
  <c r="K353" i="8"/>
  <c r="M353" i="8" s="1"/>
  <c r="J353" i="8"/>
  <c r="L353" i="8" s="1"/>
  <c r="H354" i="8"/>
  <c r="K354" i="8" l="1"/>
  <c r="M354" i="8" s="1"/>
  <c r="I354" i="8"/>
  <c r="J354" i="8"/>
  <c r="L354" i="8" s="1"/>
  <c r="H355" i="8"/>
  <c r="I355" i="8" l="1"/>
  <c r="K355" i="8"/>
  <c r="M355" i="8" s="1"/>
  <c r="J355" i="8"/>
  <c r="L355" i="8" s="1"/>
  <c r="H356" i="8"/>
  <c r="K356" i="8" l="1"/>
  <c r="M356" i="8" s="1"/>
  <c r="I356" i="8"/>
  <c r="J356" i="8"/>
  <c r="L356" i="8" s="1"/>
  <c r="H357" i="8"/>
  <c r="J357" i="8" l="1"/>
  <c r="L357" i="8" s="1"/>
  <c r="K357" i="8"/>
  <c r="M357" i="8" s="1"/>
  <c r="I357" i="8"/>
  <c r="H358" i="8"/>
  <c r="I358" i="8" l="1"/>
  <c r="J358" i="8"/>
  <c r="L358" i="8" s="1"/>
  <c r="K358" i="8"/>
  <c r="M358" i="8" s="1"/>
  <c r="H359" i="8"/>
  <c r="I359" i="8" l="1"/>
  <c r="K359" i="8"/>
  <c r="M359" i="8" s="1"/>
  <c r="J359" i="8"/>
  <c r="L359" i="8" s="1"/>
  <c r="H360" i="8"/>
  <c r="J360" i="8" l="1"/>
  <c r="L360" i="8" s="1"/>
  <c r="I360" i="8"/>
  <c r="K360" i="8"/>
  <c r="M360" i="8" s="1"/>
  <c r="H361" i="8"/>
  <c r="H362" i="8" l="1"/>
  <c r="I361" i="8"/>
  <c r="J361" i="8"/>
  <c r="L361" i="8" s="1"/>
  <c r="K361" i="8"/>
  <c r="M361" i="8" s="1"/>
  <c r="H363" i="8" l="1"/>
  <c r="J362" i="8"/>
  <c r="L362" i="8" s="1"/>
  <c r="I362" i="8"/>
  <c r="K362" i="8"/>
  <c r="M362" i="8" s="1"/>
  <c r="H364" i="8" l="1"/>
  <c r="K363" i="8"/>
  <c r="M363" i="8" s="1"/>
  <c r="I363" i="8"/>
  <c r="J363" i="8"/>
  <c r="L363" i="8" s="1"/>
  <c r="H365" i="8" l="1"/>
  <c r="J364" i="8"/>
  <c r="L364" i="8" s="1"/>
  <c r="K364" i="8"/>
  <c r="M364" i="8" s="1"/>
  <c r="I364" i="8"/>
  <c r="H366" i="8" l="1"/>
  <c r="I365" i="8"/>
  <c r="J365" i="8"/>
  <c r="L365" i="8" s="1"/>
  <c r="K365" i="8"/>
  <c r="M365" i="8" s="1"/>
  <c r="H367" i="8" l="1"/>
  <c r="I366" i="8"/>
  <c r="K366" i="8"/>
  <c r="M366" i="8" s="1"/>
  <c r="J366" i="8"/>
  <c r="L366" i="8" s="1"/>
  <c r="H368" i="8" l="1"/>
  <c r="K367" i="8"/>
  <c r="M367" i="8" s="1"/>
  <c r="J367" i="8"/>
  <c r="L367" i="8" s="1"/>
  <c r="I367" i="8"/>
  <c r="H369" i="8" l="1"/>
  <c r="K368" i="8"/>
  <c r="M368" i="8" s="1"/>
  <c r="J368" i="8"/>
  <c r="L368" i="8" s="1"/>
  <c r="I368" i="8"/>
  <c r="H370" i="8" l="1"/>
  <c r="I369" i="8"/>
  <c r="K369" i="8"/>
  <c r="M369" i="8" s="1"/>
  <c r="J369" i="8"/>
  <c r="L369" i="8" s="1"/>
  <c r="H371" i="8" l="1"/>
  <c r="K370" i="8"/>
  <c r="M370" i="8" s="1"/>
  <c r="J370" i="8"/>
  <c r="L370" i="8" s="1"/>
  <c r="I370" i="8"/>
  <c r="H372" i="8" l="1"/>
  <c r="I371" i="8"/>
  <c r="K371" i="8"/>
  <c r="M371" i="8" s="1"/>
  <c r="J371" i="8"/>
  <c r="L371" i="8" s="1"/>
  <c r="H373" i="8" l="1"/>
  <c r="I372" i="8"/>
  <c r="K372" i="8"/>
  <c r="M372" i="8" s="1"/>
  <c r="J372" i="8"/>
  <c r="L372" i="8" s="1"/>
  <c r="H374" i="8" l="1"/>
  <c r="J373" i="8"/>
  <c r="L373" i="8" s="1"/>
  <c r="K373" i="8"/>
  <c r="M373" i="8" s="1"/>
  <c r="I373" i="8"/>
  <c r="H375" i="8" l="1"/>
  <c r="I374" i="8"/>
  <c r="K374" i="8"/>
  <c r="M374" i="8" s="1"/>
  <c r="J374" i="8"/>
  <c r="L374" i="8" s="1"/>
  <c r="H376" i="8" l="1"/>
  <c r="K375" i="8"/>
  <c r="M375" i="8" s="1"/>
  <c r="J375" i="8"/>
  <c r="L375" i="8" s="1"/>
  <c r="I375" i="8"/>
  <c r="H377" i="8" l="1"/>
  <c r="K376" i="8"/>
  <c r="M376" i="8" s="1"/>
  <c r="J376" i="8"/>
  <c r="L376" i="8" s="1"/>
  <c r="I376" i="8"/>
  <c r="H378" i="8" l="1"/>
  <c r="I377" i="8"/>
  <c r="K377" i="8"/>
  <c r="M377" i="8" s="1"/>
  <c r="J377" i="8"/>
  <c r="L377" i="8" s="1"/>
  <c r="H379" i="8" l="1"/>
  <c r="J378" i="8"/>
  <c r="L378" i="8" s="1"/>
  <c r="I378" i="8"/>
  <c r="K378" i="8"/>
  <c r="M378" i="8" s="1"/>
  <c r="H380" i="8" l="1"/>
  <c r="J379" i="8"/>
  <c r="L379" i="8" s="1"/>
  <c r="I379" i="8"/>
  <c r="K379" i="8"/>
  <c r="M379" i="8" s="1"/>
  <c r="H381" i="8" l="1"/>
  <c r="J380" i="8"/>
  <c r="L380" i="8" s="1"/>
  <c r="I380" i="8"/>
  <c r="K380" i="8"/>
  <c r="M380" i="8" s="1"/>
  <c r="H382" i="8" l="1"/>
  <c r="J381" i="8"/>
  <c r="L381" i="8" s="1"/>
  <c r="K381" i="8"/>
  <c r="M381" i="8" s="1"/>
  <c r="I381" i="8"/>
  <c r="H383" i="8" l="1"/>
  <c r="J382" i="8"/>
  <c r="L382" i="8" s="1"/>
  <c r="I382" i="8"/>
  <c r="K382" i="8"/>
  <c r="M382" i="8" s="1"/>
  <c r="H384" i="8" l="1"/>
  <c r="K383" i="8"/>
  <c r="M383" i="8" s="1"/>
  <c r="I383" i="8"/>
  <c r="J383" i="8"/>
  <c r="L383" i="8" s="1"/>
  <c r="H385" i="8" l="1"/>
  <c r="J384" i="8"/>
  <c r="L384" i="8" s="1"/>
  <c r="K384" i="8"/>
  <c r="M384" i="8" s="1"/>
  <c r="I384" i="8"/>
  <c r="H386" i="8" l="1"/>
  <c r="I385" i="8"/>
  <c r="K385" i="8"/>
  <c r="M385" i="8" s="1"/>
  <c r="J385" i="8"/>
  <c r="L385" i="8" s="1"/>
  <c r="H387" i="8" l="1"/>
  <c r="K386" i="8"/>
  <c r="M386" i="8" s="1"/>
  <c r="I386" i="8"/>
  <c r="J386" i="8"/>
  <c r="L386" i="8" s="1"/>
  <c r="H388" i="8" l="1"/>
  <c r="I387" i="8"/>
  <c r="J387" i="8"/>
  <c r="L387" i="8" s="1"/>
  <c r="K387" i="8"/>
  <c r="M387" i="8" s="1"/>
  <c r="H389" i="8" l="1"/>
  <c r="I388" i="8"/>
  <c r="K388" i="8"/>
  <c r="M388" i="8" s="1"/>
  <c r="J388" i="8"/>
  <c r="L388" i="8" s="1"/>
  <c r="H390" i="8" l="1"/>
  <c r="I389" i="8"/>
  <c r="J389" i="8"/>
  <c r="L389" i="8" s="1"/>
  <c r="K389" i="8"/>
  <c r="M389" i="8" s="1"/>
  <c r="H391" i="8" l="1"/>
  <c r="K390" i="8"/>
  <c r="M390" i="8" s="1"/>
  <c r="I390" i="8"/>
  <c r="J390" i="8"/>
  <c r="L390" i="8" s="1"/>
  <c r="H392" i="8" l="1"/>
  <c r="J391" i="8"/>
  <c r="L391" i="8" s="1"/>
  <c r="K391" i="8"/>
  <c r="M391" i="8" s="1"/>
  <c r="I391" i="8"/>
  <c r="H393" i="8" l="1"/>
  <c r="K392" i="8"/>
  <c r="M392" i="8" s="1"/>
  <c r="I392" i="8"/>
  <c r="J392" i="8"/>
  <c r="L392" i="8" s="1"/>
  <c r="H394" i="8" l="1"/>
  <c r="I393" i="8"/>
  <c r="J393" i="8"/>
  <c r="L393" i="8" s="1"/>
  <c r="K393" i="8"/>
  <c r="M393" i="8" s="1"/>
  <c r="H395" i="8" l="1"/>
  <c r="K394" i="8"/>
  <c r="M394" i="8" s="1"/>
  <c r="I394" i="8"/>
  <c r="J394" i="8"/>
  <c r="L394" i="8" s="1"/>
  <c r="H396" i="8" l="1"/>
  <c r="J395" i="8"/>
  <c r="L395" i="8" s="1"/>
  <c r="I395" i="8"/>
  <c r="K395" i="8"/>
  <c r="M395" i="8" s="1"/>
  <c r="H397" i="8" l="1"/>
  <c r="K396" i="8"/>
  <c r="M396" i="8" s="1"/>
  <c r="I396" i="8"/>
  <c r="J396" i="8"/>
  <c r="L396" i="8" s="1"/>
  <c r="H398" i="8" l="1"/>
  <c r="I397" i="8"/>
  <c r="J397" i="8"/>
  <c r="L397" i="8" s="1"/>
  <c r="K397" i="8"/>
  <c r="M397" i="8" s="1"/>
  <c r="H399" i="8" l="1"/>
  <c r="I398" i="8"/>
  <c r="J398" i="8"/>
  <c r="L398" i="8" s="1"/>
  <c r="K398" i="8"/>
  <c r="M398" i="8" s="1"/>
  <c r="H400" i="8" l="1"/>
  <c r="I399" i="8"/>
  <c r="J399" i="8"/>
  <c r="L399" i="8" s="1"/>
  <c r="K399" i="8"/>
  <c r="M399" i="8" s="1"/>
  <c r="H401" i="8" l="1"/>
  <c r="I400" i="8"/>
  <c r="K400" i="8"/>
  <c r="M400" i="8" s="1"/>
  <c r="J400" i="8"/>
  <c r="L400" i="8" s="1"/>
  <c r="H402" i="8" l="1"/>
  <c r="I401" i="8"/>
  <c r="K401" i="8"/>
  <c r="M401" i="8" s="1"/>
  <c r="J401" i="8"/>
  <c r="L401" i="8" s="1"/>
  <c r="I402" i="8" l="1"/>
  <c r="J402" i="8"/>
  <c r="L402" i="8" s="1"/>
  <c r="K402" i="8"/>
  <c r="M402" i="8" s="1"/>
  <c r="B3" i="10"/>
  <c r="B4" i="10" l="1"/>
  <c r="G3" i="10"/>
  <c r="H3" i="10" s="1"/>
  <c r="F3" i="10"/>
  <c r="D5" i="10" l="1"/>
  <c r="F4" i="10"/>
  <c r="G4" i="10"/>
  <c r="H4" i="10" s="1"/>
  <c r="J3" i="10"/>
  <c r="L3" i="10" s="1"/>
  <c r="K3" i="10"/>
  <c r="M3" i="10" s="1"/>
  <c r="I3" i="10"/>
  <c r="K4" i="10" l="1"/>
  <c r="M4" i="10" s="1"/>
  <c r="I4" i="10"/>
  <c r="J4" i="10"/>
  <c r="L4" i="10" s="1"/>
  <c r="H5" i="10"/>
  <c r="K5" i="10" l="1"/>
  <c r="M5" i="10" s="1"/>
  <c r="I5" i="10"/>
  <c r="J5" i="10"/>
  <c r="L5" i="10" s="1"/>
  <c r="F6" i="10"/>
  <c r="G6" i="10"/>
  <c r="H6" i="10" s="1"/>
  <c r="J6" i="10" s="1"/>
  <c r="D6" i="10"/>
  <c r="I6" i="10" l="1"/>
  <c r="K6" i="10"/>
  <c r="M6" i="10" s="1"/>
  <c r="L6" i="10"/>
  <c r="F7" i="10"/>
  <c r="D7" i="10"/>
  <c r="G7" i="10"/>
  <c r="H7" i="10"/>
  <c r="K7" i="10" s="1"/>
  <c r="M7" i="10" l="1"/>
  <c r="I7" i="10"/>
  <c r="J7" i="10"/>
  <c r="L7" i="10" s="1"/>
  <c r="F8" i="10"/>
  <c r="G9" i="10"/>
  <c r="B9" i="10"/>
  <c r="D9" i="10" s="1"/>
  <c r="D8" i="10"/>
  <c r="G8" i="10"/>
  <c r="H8" i="10"/>
  <c r="J8" i="10" s="1"/>
  <c r="L8" i="10" l="1"/>
  <c r="I8" i="10"/>
  <c r="F9" i="10"/>
  <c r="H9" i="10"/>
  <c r="B10" i="10"/>
  <c r="K8" i="10"/>
  <c r="M8" i="10" s="1"/>
  <c r="K9" i="10" l="1"/>
  <c r="M9" i="10" s="1"/>
  <c r="H10" i="10"/>
  <c r="I9" i="10"/>
  <c r="J9" i="10"/>
  <c r="L9" i="10" s="1"/>
  <c r="F10" i="10"/>
  <c r="B11" i="10"/>
  <c r="D10" i="10"/>
  <c r="G10" i="10"/>
  <c r="K10" i="10" l="1"/>
  <c r="M10" i="10" s="1"/>
  <c r="H11" i="10"/>
  <c r="I10" i="10"/>
  <c r="J10" i="10"/>
  <c r="L10" i="10" s="1"/>
  <c r="D11" i="10"/>
  <c r="B12" i="10"/>
  <c r="G11" i="10"/>
  <c r="F11" i="10"/>
  <c r="F12" i="10" l="1"/>
  <c r="B13" i="10"/>
  <c r="D12" i="10"/>
  <c r="G12" i="10"/>
  <c r="K11" i="10"/>
  <c r="M11" i="10" s="1"/>
  <c r="H12" i="10"/>
  <c r="I11" i="10"/>
  <c r="J11" i="10"/>
  <c r="L11" i="10" s="1"/>
  <c r="F13" i="10" l="1"/>
  <c r="G13" i="10"/>
  <c r="B14" i="10"/>
  <c r="D13" i="10"/>
  <c r="J12" i="10"/>
  <c r="L12" i="10" s="1"/>
  <c r="H13" i="10"/>
  <c r="I12" i="10"/>
  <c r="K12" i="10"/>
  <c r="M12" i="10" s="1"/>
  <c r="K13" i="10" l="1"/>
  <c r="M13" i="10" s="1"/>
  <c r="H14" i="10"/>
  <c r="I13" i="10"/>
  <c r="J13" i="10"/>
  <c r="L13" i="10" s="1"/>
  <c r="G14" i="10"/>
  <c r="B15" i="10"/>
  <c r="F14" i="10"/>
  <c r="D14" i="10"/>
  <c r="K14" i="10" l="1"/>
  <c r="M14" i="10" s="1"/>
  <c r="J14" i="10"/>
  <c r="L14" i="10" s="1"/>
  <c r="I14" i="10"/>
  <c r="G15" i="10"/>
  <c r="H15" i="10" s="1"/>
  <c r="B16" i="10"/>
  <c r="D15" i="10"/>
  <c r="F15" i="10"/>
  <c r="J15" i="10" l="1"/>
  <c r="L15" i="10" s="1"/>
  <c r="H16" i="10"/>
  <c r="I15" i="10"/>
  <c r="K15" i="10"/>
  <c r="M15" i="10" s="1"/>
  <c r="D16" i="10"/>
  <c r="F16" i="10"/>
  <c r="B17" i="10"/>
  <c r="G16" i="10"/>
  <c r="J16" i="10" l="1"/>
  <c r="L16" i="10" s="1"/>
  <c r="I16" i="10"/>
  <c r="K16" i="10"/>
  <c r="M16" i="10" s="1"/>
  <c r="D17" i="10"/>
  <c r="G17" i="10"/>
  <c r="H17" i="10" s="1"/>
  <c r="B18" i="10"/>
  <c r="F17" i="10"/>
  <c r="J17" i="10" l="1"/>
  <c r="L17" i="10" s="1"/>
  <c r="I17" i="10"/>
  <c r="K17" i="10"/>
  <c r="M17" i="10" s="1"/>
  <c r="F18" i="10"/>
  <c r="B19" i="10"/>
  <c r="D18" i="10"/>
  <c r="G18" i="10"/>
  <c r="H18" i="10" s="1"/>
  <c r="I18" i="10" l="1"/>
  <c r="J18" i="10"/>
  <c r="L18" i="10" s="1"/>
  <c r="K18" i="10"/>
  <c r="M18" i="10" s="1"/>
  <c r="D19" i="10"/>
  <c r="B20" i="10"/>
  <c r="G19" i="10"/>
  <c r="H19" i="10" s="1"/>
  <c r="F19" i="10"/>
  <c r="J19" i="10" l="1"/>
  <c r="L19" i="10" s="1"/>
  <c r="H20" i="10"/>
  <c r="I19" i="10"/>
  <c r="K19" i="10"/>
  <c r="M19" i="10" s="1"/>
  <c r="D20" i="10"/>
  <c r="B21" i="10"/>
  <c r="F20" i="10"/>
  <c r="G20" i="10"/>
  <c r="G21" i="10" l="1"/>
  <c r="B22" i="10"/>
  <c r="F21" i="10"/>
  <c r="D21" i="10"/>
  <c r="I20" i="10"/>
  <c r="J20" i="10"/>
  <c r="L20" i="10" s="1"/>
  <c r="H21" i="10"/>
  <c r="K20" i="10"/>
  <c r="M20" i="10" s="1"/>
  <c r="J21" i="10" l="1"/>
  <c r="L21" i="10" s="1"/>
  <c r="K21" i="10"/>
  <c r="M21" i="10" s="1"/>
  <c r="I21" i="10"/>
  <c r="D22" i="10"/>
  <c r="B23" i="10"/>
  <c r="F22" i="10"/>
  <c r="G22" i="10"/>
  <c r="H22" i="10" s="1"/>
  <c r="J22" i="10" l="1"/>
  <c r="L22" i="10" s="1"/>
  <c r="I22" i="10"/>
  <c r="K22" i="10"/>
  <c r="M22" i="10" s="1"/>
  <c r="F23" i="10"/>
  <c r="B24" i="10"/>
  <c r="G23" i="10"/>
  <c r="H23" i="10" s="1"/>
  <c r="I23" i="10" l="1"/>
  <c r="J23" i="10"/>
  <c r="L23" i="10" s="1"/>
  <c r="H24" i="10"/>
  <c r="K23" i="10"/>
  <c r="M23" i="10" s="1"/>
  <c r="G24" i="10"/>
  <c r="F24" i="10"/>
  <c r="B25" i="10"/>
  <c r="J24" i="10" l="1"/>
  <c r="L24" i="10" s="1"/>
  <c r="I24" i="10"/>
  <c r="K24" i="10"/>
  <c r="M24" i="10" s="1"/>
  <c r="F25" i="10"/>
  <c r="G25" i="10"/>
  <c r="H25" i="10" s="1"/>
  <c r="B26" i="10"/>
  <c r="J25" i="10" l="1"/>
  <c r="L25" i="10" s="1"/>
  <c r="I25" i="10"/>
  <c r="K25" i="10"/>
  <c r="M25" i="10" s="1"/>
  <c r="F26" i="10"/>
  <c r="G26" i="10"/>
  <c r="H26" i="10" s="1"/>
  <c r="D26" i="10"/>
  <c r="B27" i="10"/>
  <c r="I26" i="10" l="1"/>
  <c r="K26" i="10"/>
  <c r="M26" i="10" s="1"/>
  <c r="J26" i="10"/>
  <c r="L26" i="10" s="1"/>
  <c r="B28" i="10"/>
  <c r="F27" i="10"/>
  <c r="G27" i="10"/>
  <c r="H27" i="10" s="1"/>
  <c r="K27" i="10" l="1"/>
  <c r="M27" i="10" s="1"/>
  <c r="I27" i="10"/>
  <c r="J27" i="10"/>
  <c r="L27" i="10" s="1"/>
  <c r="B29" i="10"/>
  <c r="F28" i="10"/>
  <c r="G28" i="10"/>
  <c r="H28" i="10" s="1"/>
  <c r="D28" i="10"/>
  <c r="I28" i="10" l="1"/>
  <c r="J28" i="10"/>
  <c r="L28" i="10" s="1"/>
  <c r="K28" i="10"/>
  <c r="M28" i="10" s="1"/>
  <c r="B30" i="10"/>
  <c r="F29" i="10"/>
  <c r="G29" i="10"/>
  <c r="H29" i="10" s="1"/>
  <c r="D29" i="10"/>
  <c r="I29" i="10" l="1"/>
  <c r="J29" i="10"/>
  <c r="L29" i="10" s="1"/>
  <c r="K29" i="10"/>
  <c r="M29" i="10" s="1"/>
  <c r="B31" i="10"/>
  <c r="F30" i="10"/>
  <c r="D30" i="10"/>
  <c r="G30" i="10"/>
  <c r="H30" i="10" s="1"/>
  <c r="K30" i="10" l="1"/>
  <c r="M30" i="10" s="1"/>
  <c r="J30" i="10"/>
  <c r="L30" i="10" s="1"/>
  <c r="I30" i="10"/>
  <c r="B32" i="10"/>
  <c r="G31" i="10"/>
  <c r="H31" i="10" s="1"/>
  <c r="F31" i="10"/>
  <c r="D31" i="10"/>
  <c r="J31" i="10" l="1"/>
  <c r="L31" i="10" s="1"/>
  <c r="I31" i="10"/>
  <c r="K31" i="10"/>
  <c r="M31" i="10" s="1"/>
  <c r="B33" i="10"/>
  <c r="D32" i="10"/>
  <c r="G32" i="10"/>
  <c r="H32" i="10" s="1"/>
  <c r="F32" i="10"/>
  <c r="K32" i="10" l="1"/>
  <c r="M32" i="10" s="1"/>
  <c r="J32" i="10"/>
  <c r="L32" i="10" s="1"/>
  <c r="I32" i="10"/>
  <c r="B34" i="10"/>
  <c r="G33" i="10"/>
  <c r="H33" i="10" s="1"/>
  <c r="D33" i="10"/>
  <c r="F33" i="10"/>
  <c r="I33" i="10" l="1"/>
  <c r="J33" i="10"/>
  <c r="L33" i="10" s="1"/>
  <c r="K33" i="10"/>
  <c r="M33" i="10" s="1"/>
  <c r="B35" i="10"/>
  <c r="F34" i="10"/>
  <c r="D34" i="10"/>
  <c r="G34" i="10"/>
  <c r="H34" i="10" s="1"/>
  <c r="I34" i="10" l="1"/>
  <c r="J34" i="10"/>
  <c r="L34" i="10" s="1"/>
  <c r="K34" i="10"/>
  <c r="M34" i="10" s="1"/>
  <c r="B36" i="10"/>
  <c r="G35" i="10"/>
  <c r="H35" i="10" s="1"/>
  <c r="D35" i="10"/>
  <c r="F35" i="10"/>
  <c r="H36" i="10" l="1"/>
  <c r="K35" i="10"/>
  <c r="M35" i="10" s="1"/>
  <c r="I35" i="10"/>
  <c r="J35" i="10"/>
  <c r="L35" i="10" s="1"/>
  <c r="B37" i="10"/>
  <c r="F36" i="10"/>
  <c r="G36" i="10"/>
  <c r="D36" i="10"/>
  <c r="K36" i="10" l="1"/>
  <c r="M36" i="10" s="1"/>
  <c r="J36" i="10"/>
  <c r="L36" i="10" s="1"/>
  <c r="I36" i="10"/>
  <c r="B38" i="10"/>
  <c r="G37" i="10"/>
  <c r="H37" i="10" s="1"/>
  <c r="D37" i="10"/>
  <c r="F37" i="10"/>
  <c r="I37" i="10" l="1"/>
  <c r="K37" i="10"/>
  <c r="M37" i="10" s="1"/>
  <c r="J37" i="10"/>
  <c r="L37" i="10" s="1"/>
  <c r="B39" i="10"/>
  <c r="F38" i="10"/>
  <c r="D38" i="10"/>
  <c r="G38" i="10"/>
  <c r="H38" i="10" s="1"/>
  <c r="K38" i="10" l="1"/>
  <c r="M38" i="10" s="1"/>
  <c r="I38" i="10"/>
  <c r="J38" i="10"/>
  <c r="L38" i="10" s="1"/>
  <c r="B40" i="10"/>
  <c r="G39" i="10"/>
  <c r="H39" i="10" s="1"/>
  <c r="D39" i="10"/>
  <c r="F39" i="10"/>
  <c r="K39" i="10" l="1"/>
  <c r="M39" i="10" s="1"/>
  <c r="J39" i="10"/>
  <c r="L39" i="10" s="1"/>
  <c r="I39" i="10"/>
  <c r="B41" i="10"/>
  <c r="D40" i="10"/>
  <c r="G40" i="10"/>
  <c r="H40" i="10" s="1"/>
  <c r="F40" i="10"/>
  <c r="I40" i="10" l="1"/>
  <c r="K40" i="10"/>
  <c r="M40" i="10" s="1"/>
  <c r="J40" i="10"/>
  <c r="L40" i="10" s="1"/>
  <c r="B42" i="10"/>
  <c r="D41" i="10"/>
  <c r="G41" i="10"/>
  <c r="H41" i="10" s="1"/>
  <c r="F41" i="10"/>
  <c r="J41" i="10" l="1"/>
  <c r="L41" i="10" s="1"/>
  <c r="K41" i="10"/>
  <c r="M41" i="10" s="1"/>
  <c r="I41" i="10"/>
  <c r="B43" i="10"/>
  <c r="F42" i="10"/>
  <c r="D42" i="10"/>
  <c r="G42" i="10"/>
  <c r="H42" i="10" s="1"/>
  <c r="J42" i="10" l="1"/>
  <c r="L42" i="10" s="1"/>
  <c r="I42" i="10"/>
  <c r="K42" i="10"/>
  <c r="M42" i="10" s="1"/>
  <c r="D43" i="10"/>
  <c r="G43" i="10"/>
  <c r="H43" i="10" s="1"/>
  <c r="B44" i="10"/>
  <c r="F43" i="10"/>
  <c r="I43" i="10" l="1"/>
  <c r="J43" i="10"/>
  <c r="L43" i="10" s="1"/>
  <c r="K43" i="10"/>
  <c r="M43" i="10" s="1"/>
  <c r="F44" i="10"/>
  <c r="G44" i="10"/>
  <c r="H44" i="10" s="1"/>
  <c r="D44" i="10"/>
  <c r="B45" i="10"/>
  <c r="K44" i="10" l="1"/>
  <c r="M44" i="10" s="1"/>
  <c r="J44" i="10"/>
  <c r="L44" i="10" s="1"/>
  <c r="I44" i="10"/>
  <c r="G45" i="10"/>
  <c r="H45" i="10" s="1"/>
  <c r="F45" i="10"/>
  <c r="D45" i="10"/>
  <c r="B46" i="10"/>
  <c r="J45" i="10" l="1"/>
  <c r="L45" i="10" s="1"/>
  <c r="I45" i="10"/>
  <c r="K45" i="10"/>
  <c r="M45" i="10" s="1"/>
  <c r="G46" i="10"/>
  <c r="H46" i="10" s="1"/>
  <c r="B47" i="10"/>
  <c r="F46" i="10"/>
  <c r="D46" i="10"/>
  <c r="K46" i="10" l="1"/>
  <c r="M46" i="10" s="1"/>
  <c r="J46" i="10"/>
  <c r="L46" i="10" s="1"/>
  <c r="I46" i="10"/>
  <c r="F47" i="10"/>
  <c r="B48" i="10"/>
  <c r="G47" i="10"/>
  <c r="H47" i="10" s="1"/>
  <c r="D47" i="10"/>
  <c r="I47" i="10" l="1"/>
  <c r="K47" i="10"/>
  <c r="M47" i="10" s="1"/>
  <c r="J47" i="10"/>
  <c r="L47" i="10" s="1"/>
  <c r="F48" i="10"/>
  <c r="B49" i="10"/>
  <c r="G48" i="10"/>
  <c r="H48" i="10" s="1"/>
  <c r="D48" i="10"/>
  <c r="I48" i="10" l="1"/>
  <c r="J48" i="10"/>
  <c r="L48" i="10" s="1"/>
  <c r="K48" i="10"/>
  <c r="M48" i="10" s="1"/>
  <c r="G49" i="10"/>
  <c r="H49" i="10" s="1"/>
  <c r="B50" i="10"/>
  <c r="F49" i="10"/>
  <c r="D49" i="10"/>
  <c r="I49" i="10" l="1"/>
  <c r="H50" i="10"/>
  <c r="J49" i="10"/>
  <c r="L49" i="10" s="1"/>
  <c r="K49" i="10"/>
  <c r="M49" i="10" s="1"/>
  <c r="D50" i="10"/>
  <c r="B51" i="10"/>
  <c r="G50" i="10"/>
  <c r="F50" i="10"/>
  <c r="K50" i="10" l="1"/>
  <c r="M50" i="10" s="1"/>
  <c r="H51" i="10"/>
  <c r="J50" i="10"/>
  <c r="L50" i="10" s="1"/>
  <c r="I50" i="10"/>
  <c r="D51" i="10"/>
  <c r="B52" i="10"/>
  <c r="G51" i="10"/>
  <c r="F51" i="10"/>
  <c r="J51" i="10" l="1"/>
  <c r="L51" i="10" s="1"/>
  <c r="H52" i="10"/>
  <c r="K51" i="10"/>
  <c r="M51" i="10" s="1"/>
  <c r="I51" i="10"/>
  <c r="G52" i="10"/>
  <c r="B53" i="10"/>
  <c r="F52" i="10"/>
  <c r="D52" i="10"/>
  <c r="D53" i="10" l="1"/>
  <c r="B54" i="10"/>
  <c r="F53" i="10"/>
  <c r="G53" i="10"/>
  <c r="K52" i="10"/>
  <c r="M52" i="10" s="1"/>
  <c r="H53" i="10"/>
  <c r="I52" i="10"/>
  <c r="J52" i="10"/>
  <c r="L52" i="10" s="1"/>
  <c r="D54" i="10" l="1"/>
  <c r="B55" i="10"/>
  <c r="G54" i="10"/>
  <c r="F54" i="10"/>
  <c r="I53" i="10"/>
  <c r="H54" i="10"/>
  <c r="J53" i="10"/>
  <c r="L53" i="10" s="1"/>
  <c r="K53" i="10"/>
  <c r="M53" i="10" s="1"/>
  <c r="I54" i="10" l="1"/>
  <c r="K54" i="10"/>
  <c r="M54" i="10" s="1"/>
  <c r="J54" i="10"/>
  <c r="L54" i="10" s="1"/>
  <c r="G55" i="10"/>
  <c r="H55" i="10" s="1"/>
  <c r="B56" i="10"/>
  <c r="D55" i="10"/>
  <c r="F55" i="10"/>
  <c r="J55" i="10" l="1"/>
  <c r="L55" i="10" s="1"/>
  <c r="H56" i="10"/>
  <c r="K55" i="10"/>
  <c r="M55" i="10" s="1"/>
  <c r="I55" i="10"/>
  <c r="F56" i="10"/>
  <c r="B57" i="10"/>
  <c r="D56" i="10"/>
  <c r="G56" i="10"/>
  <c r="D57" i="10" l="1"/>
  <c r="B58" i="10"/>
  <c r="G57" i="10"/>
  <c r="F57" i="10"/>
  <c r="J56" i="10"/>
  <c r="L56" i="10" s="1"/>
  <c r="H57" i="10"/>
  <c r="I56" i="10"/>
  <c r="K56" i="10"/>
  <c r="M56" i="10" s="1"/>
  <c r="J57" i="10" l="1"/>
  <c r="L57" i="10" s="1"/>
  <c r="H58" i="10"/>
  <c r="K57" i="10"/>
  <c r="M57" i="10" s="1"/>
  <c r="I57" i="10"/>
  <c r="D58" i="10"/>
  <c r="B59" i="10"/>
  <c r="G58" i="10"/>
  <c r="F58" i="10"/>
  <c r="F59" i="10" l="1"/>
  <c r="B60" i="10"/>
  <c r="D59" i="10"/>
  <c r="G59" i="10"/>
  <c r="K58" i="10"/>
  <c r="M58" i="10" s="1"/>
  <c r="H59" i="10"/>
  <c r="I58" i="10"/>
  <c r="J58" i="10"/>
  <c r="L58" i="10" s="1"/>
  <c r="J59" i="10" l="1"/>
  <c r="L59" i="10" s="1"/>
  <c r="H60" i="10"/>
  <c r="K59" i="10"/>
  <c r="M59" i="10" s="1"/>
  <c r="I59" i="10"/>
  <c r="F60" i="10"/>
  <c r="B61" i="10"/>
  <c r="D60" i="10"/>
  <c r="G60" i="10"/>
  <c r="I60" i="10" l="1"/>
  <c r="H61" i="10"/>
  <c r="K60" i="10"/>
  <c r="M60" i="10" s="1"/>
  <c r="J60" i="10"/>
  <c r="L60" i="10" s="1"/>
  <c r="G61" i="10"/>
  <c r="B62" i="10"/>
  <c r="D61" i="10"/>
  <c r="F61" i="10"/>
  <c r="D62" i="10" l="1"/>
  <c r="B63" i="10"/>
  <c r="G62" i="10"/>
  <c r="F62" i="10"/>
  <c r="J61" i="10"/>
  <c r="L61" i="10" s="1"/>
  <c r="H62" i="10"/>
  <c r="K61" i="10"/>
  <c r="M61" i="10" s="1"/>
  <c r="I61" i="10"/>
  <c r="G63" i="10" l="1"/>
  <c r="B64" i="10"/>
  <c r="F63" i="10"/>
  <c r="D63" i="10"/>
  <c r="I62" i="10"/>
  <c r="H63" i="10"/>
  <c r="K62" i="10"/>
  <c r="M62" i="10" s="1"/>
  <c r="J62" i="10"/>
  <c r="L62" i="10" s="1"/>
  <c r="J63" i="10" l="1"/>
  <c r="L63" i="10" s="1"/>
  <c r="H64" i="10"/>
  <c r="K63" i="10"/>
  <c r="M63" i="10" s="1"/>
  <c r="I63" i="10"/>
  <c r="D64" i="10"/>
  <c r="B65" i="10"/>
  <c r="G64" i="10"/>
  <c r="F64" i="10"/>
  <c r="I64" i="10" l="1"/>
  <c r="H65" i="10"/>
  <c r="K64" i="10"/>
  <c r="M64" i="10" s="1"/>
  <c r="J64" i="10"/>
  <c r="L64" i="10" s="1"/>
  <c r="D65" i="10"/>
  <c r="B66" i="10"/>
  <c r="G65" i="10"/>
  <c r="F65" i="10"/>
  <c r="F66" i="10" l="1"/>
  <c r="B67" i="10"/>
  <c r="D66" i="10"/>
  <c r="G66" i="10"/>
  <c r="J65" i="10"/>
  <c r="L65" i="10" s="1"/>
  <c r="H66" i="10"/>
  <c r="I65" i="10"/>
  <c r="K65" i="10"/>
  <c r="M65" i="10" s="1"/>
  <c r="J66" i="10" l="1"/>
  <c r="L66" i="10" s="1"/>
  <c r="H67" i="10"/>
  <c r="I66" i="10"/>
  <c r="K66" i="10"/>
  <c r="M66" i="10" s="1"/>
  <c r="F67" i="10"/>
  <c r="B68" i="10"/>
  <c r="G67" i="10"/>
  <c r="D67" i="10"/>
  <c r="G68" i="10" l="1"/>
  <c r="B69" i="10"/>
  <c r="D68" i="10"/>
  <c r="F68" i="10"/>
  <c r="K67" i="10"/>
  <c r="M67" i="10" s="1"/>
  <c r="H68" i="10"/>
  <c r="I67" i="10"/>
  <c r="J67" i="10"/>
  <c r="L67" i="10" s="1"/>
  <c r="K68" i="10" l="1"/>
  <c r="M68" i="10" s="1"/>
  <c r="H69" i="10"/>
  <c r="I68" i="10"/>
  <c r="J68" i="10"/>
  <c r="L68" i="10" s="1"/>
  <c r="D69" i="10"/>
  <c r="B70" i="10"/>
  <c r="F69" i="10"/>
  <c r="G69" i="10"/>
  <c r="J69" i="10" l="1"/>
  <c r="L69" i="10" s="1"/>
  <c r="H70" i="10"/>
  <c r="I69" i="10"/>
  <c r="K69" i="10"/>
  <c r="M69" i="10" s="1"/>
  <c r="D70" i="10"/>
  <c r="B71" i="10"/>
  <c r="F70" i="10"/>
  <c r="G70" i="10"/>
  <c r="F71" i="10" l="1"/>
  <c r="B72" i="10"/>
  <c r="G71" i="10"/>
  <c r="D71" i="10"/>
  <c r="K70" i="10"/>
  <c r="M70" i="10" s="1"/>
  <c r="H71" i="10"/>
  <c r="I70" i="10"/>
  <c r="J70" i="10"/>
  <c r="L70" i="10" s="1"/>
  <c r="I71" i="10" l="1"/>
  <c r="H72" i="10"/>
  <c r="J71" i="10"/>
  <c r="L71" i="10" s="1"/>
  <c r="K71" i="10"/>
  <c r="M71" i="10" s="1"/>
  <c r="D72" i="10"/>
  <c r="B73" i="10"/>
  <c r="F72" i="10"/>
  <c r="G72" i="10"/>
  <c r="F73" i="10" l="1"/>
  <c r="B74" i="10"/>
  <c r="G73" i="10"/>
  <c r="D73" i="10"/>
  <c r="K72" i="10"/>
  <c r="M72" i="10" s="1"/>
  <c r="H73" i="10"/>
  <c r="J72" i="10"/>
  <c r="L72" i="10" s="1"/>
  <c r="I72" i="10"/>
  <c r="K73" i="10" l="1"/>
  <c r="M73" i="10" s="1"/>
  <c r="H74" i="10"/>
  <c r="I73" i="10"/>
  <c r="J73" i="10"/>
  <c r="L73" i="10" s="1"/>
  <c r="D74" i="10"/>
  <c r="B75" i="10"/>
  <c r="G74" i="10"/>
  <c r="F74" i="10"/>
  <c r="I74" i="10" l="1"/>
  <c r="H75" i="10"/>
  <c r="J74" i="10"/>
  <c r="L74" i="10" s="1"/>
  <c r="K74" i="10"/>
  <c r="M74" i="10" s="1"/>
  <c r="D75" i="10"/>
  <c r="B76" i="10"/>
  <c r="G75" i="10"/>
  <c r="F75" i="10"/>
  <c r="J75" i="10" l="1"/>
  <c r="L75" i="10" s="1"/>
  <c r="H76" i="10"/>
  <c r="K75" i="10"/>
  <c r="M75" i="10" s="1"/>
  <c r="I75" i="10"/>
  <c r="D76" i="10"/>
  <c r="B77" i="10"/>
  <c r="G76" i="10"/>
  <c r="F76" i="10"/>
  <c r="D77" i="10" l="1"/>
  <c r="B78" i="10"/>
  <c r="F77" i="10"/>
  <c r="G77" i="10"/>
  <c r="J76" i="10"/>
  <c r="L76" i="10" s="1"/>
  <c r="H77" i="10"/>
  <c r="K76" i="10"/>
  <c r="M76" i="10" s="1"/>
  <c r="I76" i="10"/>
  <c r="K77" i="10" l="1"/>
  <c r="M77" i="10" s="1"/>
  <c r="H78" i="10"/>
  <c r="I77" i="10"/>
  <c r="J77" i="10"/>
  <c r="L77" i="10" s="1"/>
  <c r="F78" i="10"/>
  <c r="B79" i="10"/>
  <c r="D78" i="10"/>
  <c r="G78" i="10"/>
  <c r="G79" i="10" l="1"/>
  <c r="B80" i="10"/>
  <c r="D79" i="10"/>
  <c r="F79" i="10"/>
  <c r="K78" i="10"/>
  <c r="M78" i="10" s="1"/>
  <c r="H79" i="10"/>
  <c r="J78" i="10"/>
  <c r="L78" i="10" s="1"/>
  <c r="I78" i="10"/>
  <c r="I79" i="10" l="1"/>
  <c r="H80" i="10"/>
  <c r="J79" i="10"/>
  <c r="L79" i="10" s="1"/>
  <c r="K79" i="10"/>
  <c r="M79" i="10" s="1"/>
  <c r="D80" i="10"/>
  <c r="B81" i="10"/>
  <c r="G80" i="10"/>
  <c r="F80" i="10"/>
  <c r="D81" i="10" l="1"/>
  <c r="B82" i="10"/>
  <c r="G81" i="10"/>
  <c r="F81" i="10"/>
  <c r="J80" i="10"/>
  <c r="L80" i="10" s="1"/>
  <c r="H81" i="10"/>
  <c r="I80" i="10"/>
  <c r="K80" i="10"/>
  <c r="M80" i="10" s="1"/>
  <c r="K81" i="10" l="1"/>
  <c r="M81" i="10" s="1"/>
  <c r="J81" i="10"/>
  <c r="L81" i="10" s="1"/>
  <c r="I81" i="10"/>
  <c r="G82" i="10"/>
  <c r="H82" i="10" s="1"/>
  <c r="B83" i="10"/>
  <c r="D82" i="10"/>
  <c r="F82" i="10"/>
  <c r="J82" i="10" l="1"/>
  <c r="L82" i="10" s="1"/>
  <c r="I82" i="10"/>
  <c r="K82" i="10"/>
  <c r="M82" i="10" s="1"/>
  <c r="G83" i="10"/>
  <c r="H83" i="10" s="1"/>
  <c r="B84" i="10"/>
  <c r="D83" i="10"/>
  <c r="F83" i="10"/>
  <c r="I83" i="10" l="1"/>
  <c r="J83" i="10"/>
  <c r="L83" i="10" s="1"/>
  <c r="K83" i="10"/>
  <c r="M83" i="10" s="1"/>
  <c r="D84" i="10"/>
  <c r="B85" i="10"/>
  <c r="F84" i="10"/>
  <c r="G84" i="10"/>
  <c r="H84" i="10" s="1"/>
  <c r="J84" i="10" l="1"/>
  <c r="L84" i="10" s="1"/>
  <c r="I84" i="10"/>
  <c r="K84" i="10"/>
  <c r="M84" i="10" s="1"/>
  <c r="D85" i="10"/>
  <c r="B86" i="10"/>
  <c r="F85" i="10"/>
  <c r="G85" i="10"/>
  <c r="H85" i="10" s="1"/>
  <c r="J85" i="10" l="1"/>
  <c r="L85" i="10" s="1"/>
  <c r="I85" i="10"/>
  <c r="K85" i="10"/>
  <c r="M85" i="10" s="1"/>
  <c r="G86" i="10"/>
  <c r="H86" i="10" s="1"/>
  <c r="B87" i="10"/>
  <c r="D86" i="10"/>
  <c r="F86" i="10"/>
  <c r="I86" i="10" l="1"/>
  <c r="K86" i="10"/>
  <c r="M86" i="10" s="1"/>
  <c r="J86" i="10"/>
  <c r="L86" i="10" s="1"/>
  <c r="G87" i="10"/>
  <c r="H87" i="10" s="1"/>
  <c r="B88" i="10"/>
  <c r="D87" i="10"/>
  <c r="F87" i="10"/>
  <c r="J87" i="10" l="1"/>
  <c r="L87" i="10" s="1"/>
  <c r="I87" i="10"/>
  <c r="K87" i="10"/>
  <c r="M87" i="10" s="1"/>
  <c r="D88" i="10"/>
  <c r="B89" i="10"/>
  <c r="F88" i="10"/>
  <c r="G88" i="10"/>
  <c r="H88" i="10" s="1"/>
  <c r="J88" i="10" l="1"/>
  <c r="L88" i="10" s="1"/>
  <c r="K88" i="10"/>
  <c r="M88" i="10" s="1"/>
  <c r="I88" i="10"/>
  <c r="D89" i="10"/>
  <c r="B90" i="10"/>
  <c r="F89" i="10"/>
  <c r="G89" i="10"/>
  <c r="H89" i="10" s="1"/>
  <c r="J89" i="10" l="1"/>
  <c r="L89" i="10" s="1"/>
  <c r="K89" i="10"/>
  <c r="M89" i="10" s="1"/>
  <c r="I89" i="10"/>
  <c r="F90" i="10"/>
  <c r="B91" i="10"/>
  <c r="D90" i="10"/>
  <c r="G90" i="10"/>
  <c r="H90" i="10" s="1"/>
  <c r="I90" i="10" l="1"/>
  <c r="K90" i="10"/>
  <c r="M90" i="10" s="1"/>
  <c r="J90" i="10"/>
  <c r="L90" i="10" s="1"/>
  <c r="F91" i="10"/>
  <c r="B92" i="10"/>
  <c r="D91" i="10"/>
  <c r="G91" i="10"/>
  <c r="H91" i="10" s="1"/>
  <c r="J91" i="10" l="1"/>
  <c r="L91" i="10" s="1"/>
  <c r="I91" i="10"/>
  <c r="K91" i="10"/>
  <c r="M91" i="10" s="1"/>
  <c r="F92" i="10"/>
  <c r="B93" i="10"/>
  <c r="G92" i="10"/>
  <c r="H92" i="10" s="1"/>
  <c r="D92" i="10"/>
  <c r="I92" i="10" l="1"/>
  <c r="K92" i="10"/>
  <c r="M92" i="10" s="1"/>
  <c r="J92" i="10"/>
  <c r="L92" i="10" s="1"/>
  <c r="F93" i="10"/>
  <c r="B94" i="10"/>
  <c r="D93" i="10"/>
  <c r="G93" i="10"/>
  <c r="H93" i="10" s="1"/>
  <c r="I93" i="10" l="1"/>
  <c r="K93" i="10"/>
  <c r="M93" i="10" s="1"/>
  <c r="J93" i="10"/>
  <c r="L93" i="10" s="1"/>
  <c r="D94" i="10"/>
  <c r="B95" i="10"/>
  <c r="G94" i="10"/>
  <c r="H94" i="10" s="1"/>
  <c r="F94" i="10"/>
  <c r="J94" i="10" l="1"/>
  <c r="L94" i="10" s="1"/>
  <c r="I94" i="10"/>
  <c r="K94" i="10"/>
  <c r="M94" i="10" s="1"/>
  <c r="D95" i="10"/>
  <c r="B96" i="10"/>
  <c r="F95" i="10"/>
  <c r="G95" i="10"/>
  <c r="H95" i="10" s="1"/>
  <c r="I95" i="10" l="1"/>
  <c r="K95" i="10"/>
  <c r="M95" i="10" s="1"/>
  <c r="J95" i="10"/>
  <c r="L95" i="10" s="1"/>
  <c r="G96" i="10"/>
  <c r="H96" i="10" s="1"/>
  <c r="B97" i="10"/>
  <c r="D96" i="10"/>
  <c r="F96" i="10"/>
  <c r="I96" i="10" l="1"/>
  <c r="K96" i="10"/>
  <c r="M96" i="10" s="1"/>
  <c r="J96" i="10"/>
  <c r="L96" i="10" s="1"/>
  <c r="G97" i="10"/>
  <c r="H97" i="10" s="1"/>
  <c r="B98" i="10"/>
  <c r="F97" i="10"/>
  <c r="D97" i="10"/>
  <c r="I97" i="10" l="1"/>
  <c r="J97" i="10"/>
  <c r="L97" i="10" s="1"/>
  <c r="K97" i="10"/>
  <c r="M97" i="10" s="1"/>
  <c r="G98" i="10"/>
  <c r="H98" i="10" s="1"/>
  <c r="B99" i="10"/>
  <c r="D98" i="10"/>
  <c r="F98" i="10"/>
  <c r="K98" i="10" l="1"/>
  <c r="M98" i="10" s="1"/>
  <c r="J98" i="10"/>
  <c r="L98" i="10" s="1"/>
  <c r="I98" i="10"/>
  <c r="F99" i="10"/>
  <c r="B100" i="10"/>
  <c r="D99" i="10"/>
  <c r="G99" i="10"/>
  <c r="H99" i="10" s="1"/>
  <c r="I99" i="10" l="1"/>
  <c r="J99" i="10"/>
  <c r="L99" i="10" s="1"/>
  <c r="K99" i="10"/>
  <c r="M99" i="10" s="1"/>
  <c r="F100" i="10"/>
  <c r="B101" i="10"/>
  <c r="G100" i="10"/>
  <c r="H100" i="10" s="1"/>
  <c r="D100" i="10"/>
  <c r="I100" i="10" l="1"/>
  <c r="J100" i="10"/>
  <c r="L100" i="10" s="1"/>
  <c r="K100" i="10"/>
  <c r="M100" i="10" s="1"/>
  <c r="F101" i="10"/>
  <c r="D101" i="10"/>
  <c r="G101" i="10"/>
  <c r="H101" i="10" s="1"/>
  <c r="J101" i="10" l="1"/>
  <c r="L101" i="10" s="1"/>
  <c r="K101" i="10"/>
  <c r="M101" i="10" s="1"/>
  <c r="I101" i="10"/>
  <c r="G102" i="10"/>
  <c r="H102" i="10" s="1"/>
  <c r="F102" i="10"/>
  <c r="J102" i="10" l="1"/>
  <c r="L102" i="10" s="1"/>
  <c r="K102" i="10"/>
  <c r="M102" i="10" s="1"/>
  <c r="I102" i="10"/>
  <c r="F103" i="10"/>
  <c r="G103" i="10"/>
  <c r="H103" i="10" s="1"/>
  <c r="I103" i="10" l="1"/>
  <c r="K103" i="10"/>
  <c r="M103" i="10" s="1"/>
  <c r="J103" i="10"/>
  <c r="L103" i="10" s="1"/>
  <c r="F104" i="10"/>
  <c r="G104" i="10"/>
  <c r="H104" i="10" s="1"/>
  <c r="I104" i="10" l="1"/>
  <c r="J104" i="10"/>
  <c r="L104" i="10" s="1"/>
  <c r="K104" i="10"/>
  <c r="M104" i="10" s="1"/>
  <c r="F105" i="10"/>
  <c r="B106" i="10"/>
  <c r="G106" i="10" s="1"/>
  <c r="D105" i="10"/>
  <c r="G105" i="10"/>
  <c r="H105" i="10" s="1"/>
  <c r="F106" i="10" l="1"/>
  <c r="D106" i="10"/>
  <c r="K105" i="10"/>
  <c r="M105" i="10" s="1"/>
  <c r="J105" i="10"/>
  <c r="L105" i="10" s="1"/>
  <c r="I105" i="10"/>
  <c r="H106" i="10"/>
  <c r="B107" i="10"/>
  <c r="K106" i="10" l="1"/>
  <c r="M106" i="10" s="1"/>
  <c r="J106" i="10"/>
  <c r="L106" i="10" s="1"/>
  <c r="I106" i="10"/>
  <c r="G107" i="10"/>
  <c r="H107" i="10" s="1"/>
  <c r="F107" i="10"/>
  <c r="D107" i="10"/>
  <c r="B108" i="10"/>
  <c r="I107" i="10" l="1"/>
  <c r="J107" i="10"/>
  <c r="L107" i="10" s="1"/>
  <c r="K107" i="10"/>
  <c r="M107" i="10" s="1"/>
  <c r="G108" i="10"/>
  <c r="H108" i="10" s="1"/>
  <c r="D108" i="10"/>
  <c r="B109" i="10"/>
  <c r="F108" i="10"/>
  <c r="I108" i="10" l="1"/>
  <c r="K108" i="10"/>
  <c r="M108" i="10" s="1"/>
  <c r="J108" i="10"/>
  <c r="L108" i="10" s="1"/>
  <c r="F109" i="10"/>
  <c r="D109" i="10"/>
  <c r="B110" i="10"/>
  <c r="G109" i="10"/>
  <c r="H109" i="10" s="1"/>
  <c r="K109" i="10" l="1"/>
  <c r="M109" i="10" s="1"/>
  <c r="I109" i="10"/>
  <c r="J109" i="10"/>
  <c r="L109" i="10" s="1"/>
  <c r="D110" i="10"/>
  <c r="F110" i="10"/>
  <c r="G110" i="10"/>
  <c r="H110" i="10" s="1"/>
  <c r="B111" i="10"/>
  <c r="I110" i="10" l="1"/>
  <c r="K110" i="10"/>
  <c r="M110" i="10" s="1"/>
  <c r="J110" i="10"/>
  <c r="L110" i="10" s="1"/>
  <c r="F111" i="10"/>
  <c r="D111" i="10"/>
  <c r="G111" i="10"/>
  <c r="H111" i="10" s="1"/>
  <c r="B112" i="10"/>
  <c r="K111" i="10" l="1"/>
  <c r="M111" i="10" s="1"/>
  <c r="I111" i="10"/>
  <c r="J111" i="10"/>
  <c r="L111" i="10" s="1"/>
  <c r="F112" i="10"/>
  <c r="D112" i="10"/>
  <c r="G112" i="10"/>
  <c r="H112" i="10" s="1"/>
  <c r="B113" i="10"/>
  <c r="K112" i="10" l="1"/>
  <c r="M112" i="10" s="1"/>
  <c r="J112" i="10"/>
  <c r="L112" i="10" s="1"/>
  <c r="I112" i="10"/>
  <c r="D113" i="10"/>
  <c r="G113" i="10"/>
  <c r="H113" i="10" s="1"/>
  <c r="B114" i="10"/>
  <c r="F113" i="10"/>
  <c r="K113" i="10" l="1"/>
  <c r="M113" i="10" s="1"/>
  <c r="J113" i="10"/>
  <c r="L113" i="10" s="1"/>
  <c r="I113" i="10"/>
  <c r="D114" i="10"/>
  <c r="F114" i="10"/>
  <c r="G114" i="10"/>
  <c r="H114" i="10" s="1"/>
  <c r="B115" i="10"/>
  <c r="K114" i="10" l="1"/>
  <c r="M114" i="10" s="1"/>
  <c r="I114" i="10"/>
  <c r="J114" i="10"/>
  <c r="L114" i="10" s="1"/>
  <c r="F115" i="10"/>
  <c r="D115" i="10"/>
  <c r="G115" i="10"/>
  <c r="H115" i="10" s="1"/>
  <c r="B116" i="10"/>
  <c r="I115" i="10" l="1"/>
  <c r="J115" i="10"/>
  <c r="L115" i="10" s="1"/>
  <c r="K115" i="10"/>
  <c r="M115" i="10" s="1"/>
  <c r="G116" i="10"/>
  <c r="H116" i="10" s="1"/>
  <c r="F116" i="10"/>
  <c r="D116" i="10"/>
  <c r="B117" i="10"/>
  <c r="I116" i="10" l="1"/>
  <c r="J116" i="10"/>
  <c r="L116" i="10" s="1"/>
  <c r="K116" i="10"/>
  <c r="M116" i="10" s="1"/>
  <c r="D117" i="10"/>
  <c r="F117" i="10"/>
  <c r="B118" i="10"/>
  <c r="G117" i="10"/>
  <c r="H117" i="10" s="1"/>
  <c r="J117" i="10" l="1"/>
  <c r="L117" i="10" s="1"/>
  <c r="K117" i="10"/>
  <c r="M117" i="10" s="1"/>
  <c r="I117" i="10"/>
  <c r="F118" i="10"/>
  <c r="D118" i="10"/>
  <c r="G118" i="10"/>
  <c r="H118" i="10" s="1"/>
  <c r="B119" i="10"/>
  <c r="J118" i="10" l="1"/>
  <c r="L118" i="10" s="1"/>
  <c r="I118" i="10"/>
  <c r="K118" i="10"/>
  <c r="M118" i="10" s="1"/>
  <c r="D119" i="10"/>
  <c r="F119" i="10"/>
  <c r="G119" i="10"/>
  <c r="H119" i="10" s="1"/>
  <c r="B120" i="10"/>
  <c r="K119" i="10" l="1"/>
  <c r="M119" i="10" s="1"/>
  <c r="J119" i="10"/>
  <c r="L119" i="10" s="1"/>
  <c r="I119" i="10"/>
  <c r="G120" i="10"/>
  <c r="H120" i="10" s="1"/>
  <c r="F120" i="10"/>
  <c r="B121" i="10"/>
  <c r="D120" i="10"/>
  <c r="K120" i="10" l="1"/>
  <c r="M120" i="10" s="1"/>
  <c r="I120" i="10"/>
  <c r="J120" i="10"/>
  <c r="L120" i="10" s="1"/>
  <c r="D121" i="10"/>
  <c r="F121" i="10"/>
  <c r="B122" i="10"/>
  <c r="G121" i="10"/>
  <c r="H121" i="10" s="1"/>
  <c r="J121" i="10" l="1"/>
  <c r="L121" i="10" s="1"/>
  <c r="I121" i="10"/>
  <c r="K121" i="10"/>
  <c r="M121" i="10" s="1"/>
  <c r="D122" i="10"/>
  <c r="G122" i="10"/>
  <c r="H122" i="10" s="1"/>
  <c r="F122" i="10"/>
  <c r="B123" i="10"/>
  <c r="J122" i="10" l="1"/>
  <c r="L122" i="10" s="1"/>
  <c r="I122" i="10"/>
  <c r="K122" i="10"/>
  <c r="M122" i="10" s="1"/>
  <c r="G123" i="10"/>
  <c r="H123" i="10" s="1"/>
  <c r="D123" i="10"/>
  <c r="F123" i="10"/>
  <c r="B124" i="10"/>
  <c r="J123" i="10" l="1"/>
  <c r="L123" i="10" s="1"/>
  <c r="I123" i="10"/>
  <c r="K123" i="10"/>
  <c r="M123" i="10" s="1"/>
  <c r="G124" i="10"/>
  <c r="H124" i="10" s="1"/>
  <c r="D124" i="10"/>
  <c r="B125" i="10"/>
  <c r="F124" i="10"/>
  <c r="J124" i="10" l="1"/>
  <c r="L124" i="10" s="1"/>
  <c r="I124" i="10"/>
  <c r="K124" i="10"/>
  <c r="M124" i="10" s="1"/>
  <c r="F125" i="10"/>
  <c r="G125" i="10"/>
  <c r="H125" i="10" s="1"/>
  <c r="D125" i="10"/>
  <c r="B126" i="10"/>
  <c r="K125" i="10" l="1"/>
  <c r="M125" i="10" s="1"/>
  <c r="I125" i="10"/>
  <c r="J125" i="10"/>
  <c r="L125" i="10" s="1"/>
  <c r="G126" i="10"/>
  <c r="H126" i="10" s="1"/>
  <c r="F126" i="10"/>
  <c r="D126" i="10"/>
  <c r="B127" i="10"/>
  <c r="J126" i="10" l="1"/>
  <c r="L126" i="10" s="1"/>
  <c r="K126" i="10"/>
  <c r="M126" i="10" s="1"/>
  <c r="I126" i="10"/>
  <c r="G127" i="10"/>
  <c r="H127" i="10" s="1"/>
  <c r="D127" i="10"/>
  <c r="B128" i="10"/>
  <c r="F127" i="10"/>
  <c r="J127" i="10" l="1"/>
  <c r="L127" i="10" s="1"/>
  <c r="K127" i="10"/>
  <c r="M127" i="10" s="1"/>
  <c r="I127" i="10"/>
  <c r="G128" i="10"/>
  <c r="H128" i="10" s="1"/>
  <c r="D128" i="10"/>
  <c r="F128" i="10"/>
  <c r="B129" i="10"/>
  <c r="K128" i="10" l="1"/>
  <c r="M128" i="10" s="1"/>
  <c r="I128" i="10"/>
  <c r="J128" i="10"/>
  <c r="L128" i="10" s="1"/>
  <c r="F129" i="10"/>
  <c r="G129" i="10"/>
  <c r="H129" i="10" s="1"/>
  <c r="D129" i="10"/>
  <c r="B130" i="10"/>
  <c r="J129" i="10" l="1"/>
  <c r="L129" i="10" s="1"/>
  <c r="K129" i="10"/>
  <c r="M129" i="10" s="1"/>
  <c r="I129" i="10"/>
  <c r="G130" i="10"/>
  <c r="H130" i="10" s="1"/>
  <c r="F130" i="10"/>
  <c r="D130" i="10"/>
  <c r="B131" i="10"/>
  <c r="K130" i="10" l="1"/>
  <c r="M130" i="10" s="1"/>
  <c r="I130" i="10"/>
  <c r="J130" i="10"/>
  <c r="L130" i="10" s="1"/>
  <c r="G131" i="10"/>
  <c r="H131" i="10" s="1"/>
  <c r="D131" i="10"/>
  <c r="B132" i="10"/>
  <c r="F131" i="10"/>
  <c r="I131" i="10" l="1"/>
  <c r="J131" i="10"/>
  <c r="L131" i="10" s="1"/>
  <c r="K131" i="10"/>
  <c r="M131" i="10" s="1"/>
  <c r="G132" i="10"/>
  <c r="H132" i="10" s="1"/>
  <c r="F132" i="10"/>
  <c r="B133" i="10"/>
  <c r="D132" i="10"/>
  <c r="J132" i="10" l="1"/>
  <c r="L132" i="10" s="1"/>
  <c r="K132" i="10"/>
  <c r="M132" i="10" s="1"/>
  <c r="I132" i="10"/>
  <c r="F133" i="10"/>
  <c r="D133" i="10"/>
  <c r="G133" i="10"/>
  <c r="H133" i="10" s="1"/>
  <c r="B134" i="10"/>
  <c r="K133" i="10" l="1"/>
  <c r="M133" i="10" s="1"/>
  <c r="I133" i="10"/>
  <c r="J133" i="10"/>
  <c r="L133" i="10" s="1"/>
  <c r="F134" i="10"/>
  <c r="G134" i="10"/>
  <c r="H134" i="10" s="1"/>
  <c r="D134" i="10"/>
  <c r="B135" i="10"/>
  <c r="I134" i="10" l="1"/>
  <c r="J134" i="10"/>
  <c r="L134" i="10" s="1"/>
  <c r="K134" i="10"/>
  <c r="M134" i="10" s="1"/>
  <c r="D135" i="10"/>
  <c r="G135" i="10"/>
  <c r="H135" i="10" s="1"/>
  <c r="B136" i="10"/>
  <c r="F135" i="10"/>
  <c r="J135" i="10" l="1"/>
  <c r="L135" i="10" s="1"/>
  <c r="K135" i="10"/>
  <c r="M135" i="10" s="1"/>
  <c r="I135" i="10"/>
  <c r="G136" i="10"/>
  <c r="H136" i="10" s="1"/>
  <c r="D136" i="10"/>
  <c r="F136" i="10"/>
  <c r="B137" i="10"/>
  <c r="I136" i="10" l="1"/>
  <c r="J136" i="10"/>
  <c r="L136" i="10" s="1"/>
  <c r="K136" i="10"/>
  <c r="M136" i="10" s="1"/>
  <c r="G137" i="10"/>
  <c r="H137" i="10" s="1"/>
  <c r="D137" i="10"/>
  <c r="F137" i="10"/>
  <c r="B138" i="10"/>
  <c r="K137" i="10" l="1"/>
  <c r="M137" i="10" s="1"/>
  <c r="I137" i="10"/>
  <c r="J137" i="10"/>
  <c r="L137" i="10" s="1"/>
  <c r="D138" i="10"/>
  <c r="G138" i="10"/>
  <c r="H138" i="10" s="1"/>
  <c r="B139" i="10"/>
  <c r="F138" i="10"/>
  <c r="I138" i="10" l="1"/>
  <c r="J138" i="10"/>
  <c r="L138" i="10" s="1"/>
  <c r="K138" i="10"/>
  <c r="M138" i="10" s="1"/>
  <c r="D139" i="10"/>
  <c r="F139" i="10"/>
  <c r="G139" i="10"/>
  <c r="H139" i="10" s="1"/>
  <c r="B140" i="10"/>
  <c r="K139" i="10" l="1"/>
  <c r="M139" i="10" s="1"/>
  <c r="J139" i="10"/>
  <c r="L139" i="10" s="1"/>
  <c r="I139" i="10"/>
  <c r="F140" i="10"/>
  <c r="G140" i="10"/>
  <c r="H140" i="10" s="1"/>
  <c r="D140" i="10"/>
  <c r="B141" i="10"/>
  <c r="K140" i="10" l="1"/>
  <c r="M140" i="10" s="1"/>
  <c r="J140" i="10"/>
  <c r="L140" i="10" s="1"/>
  <c r="I140" i="10"/>
  <c r="G141" i="10"/>
  <c r="H141" i="10" s="1"/>
  <c r="D141" i="10"/>
  <c r="F141" i="10"/>
  <c r="B142" i="10"/>
  <c r="I141" i="10" l="1"/>
  <c r="K141" i="10"/>
  <c r="M141" i="10" s="1"/>
  <c r="J141" i="10"/>
  <c r="L141" i="10" s="1"/>
  <c r="F142" i="10"/>
  <c r="D142" i="10"/>
  <c r="G142" i="10"/>
  <c r="H142" i="10" s="1"/>
  <c r="B143" i="10"/>
  <c r="K142" i="10" l="1"/>
  <c r="M142" i="10" s="1"/>
  <c r="J142" i="10"/>
  <c r="L142" i="10" s="1"/>
  <c r="I142" i="10"/>
  <c r="G143" i="10"/>
  <c r="H143" i="10" s="1"/>
  <c r="D143" i="10"/>
  <c r="B144" i="10"/>
  <c r="F143" i="10"/>
  <c r="J143" i="10" l="1"/>
  <c r="L143" i="10" s="1"/>
  <c r="K143" i="10"/>
  <c r="M143" i="10" s="1"/>
  <c r="I143" i="10"/>
  <c r="F144" i="10"/>
  <c r="G144" i="10"/>
  <c r="H144" i="10" s="1"/>
  <c r="D144" i="10"/>
  <c r="B145" i="10"/>
  <c r="I144" i="10" l="1"/>
  <c r="J144" i="10"/>
  <c r="L144" i="10" s="1"/>
  <c r="K144" i="10"/>
  <c r="M144" i="10" s="1"/>
  <c r="F145" i="10"/>
  <c r="D145" i="10"/>
  <c r="G145" i="10"/>
  <c r="H145" i="10" s="1"/>
  <c r="B146" i="10"/>
  <c r="K145" i="10" l="1"/>
  <c r="M145" i="10" s="1"/>
  <c r="I145" i="10"/>
  <c r="J145" i="10"/>
  <c r="L145" i="10" s="1"/>
  <c r="D146" i="10"/>
  <c r="G146" i="10"/>
  <c r="H146" i="10" s="1"/>
  <c r="B147" i="10"/>
  <c r="F146" i="10"/>
  <c r="K146" i="10" l="1"/>
  <c r="M146" i="10" s="1"/>
  <c r="J146" i="10"/>
  <c r="L146" i="10" s="1"/>
  <c r="I146" i="10"/>
  <c r="G147" i="10"/>
  <c r="H147" i="10" s="1"/>
  <c r="F147" i="10"/>
  <c r="D147" i="10"/>
  <c r="B148" i="10"/>
  <c r="J147" i="10" l="1"/>
  <c r="L147" i="10" s="1"/>
  <c r="K147" i="10"/>
  <c r="M147" i="10" s="1"/>
  <c r="I147" i="10"/>
  <c r="F148" i="10"/>
  <c r="G148" i="10"/>
  <c r="H148" i="10" s="1"/>
  <c r="D148" i="10"/>
  <c r="B149" i="10"/>
  <c r="K148" i="10" l="1"/>
  <c r="M148" i="10" s="1"/>
  <c r="I148" i="10"/>
  <c r="J148" i="10"/>
  <c r="L148" i="10" s="1"/>
  <c r="D149" i="10"/>
  <c r="F149" i="10"/>
  <c r="G149" i="10"/>
  <c r="H149" i="10" s="1"/>
  <c r="B150" i="10"/>
  <c r="K149" i="10" l="1"/>
  <c r="M149" i="10" s="1"/>
  <c r="J149" i="10"/>
  <c r="L149" i="10" s="1"/>
  <c r="I149" i="10"/>
  <c r="D150" i="10"/>
  <c r="G150" i="10"/>
  <c r="H150" i="10" s="1"/>
  <c r="B151" i="10"/>
  <c r="F150" i="10"/>
  <c r="I150" i="10" l="1"/>
  <c r="K150" i="10"/>
  <c r="M150" i="10" s="1"/>
  <c r="J150" i="10"/>
  <c r="L150" i="10" s="1"/>
  <c r="D151" i="10"/>
  <c r="G151" i="10"/>
  <c r="H151" i="10" s="1"/>
  <c r="F151" i="10"/>
  <c r="B152" i="10"/>
  <c r="J151" i="10" l="1"/>
  <c r="L151" i="10" s="1"/>
  <c r="I151" i="10"/>
  <c r="K151" i="10"/>
  <c r="M151" i="10" s="1"/>
  <c r="F152" i="10"/>
  <c r="D152" i="10"/>
  <c r="G152" i="10"/>
  <c r="H152" i="10" s="1"/>
  <c r="B153" i="10"/>
  <c r="J152" i="10" l="1"/>
  <c r="L152" i="10" s="1"/>
  <c r="I152" i="10"/>
  <c r="K152" i="10"/>
  <c r="M152" i="10" s="1"/>
  <c r="D153" i="10"/>
  <c r="G153" i="10"/>
  <c r="H153" i="10" s="1"/>
  <c r="B154" i="10"/>
  <c r="F153" i="10"/>
  <c r="K153" i="10" l="1"/>
  <c r="M153" i="10" s="1"/>
  <c r="I153" i="10"/>
  <c r="J153" i="10"/>
  <c r="L153" i="10" s="1"/>
  <c r="D154" i="10"/>
  <c r="F154" i="10"/>
  <c r="B155" i="10"/>
  <c r="G154" i="10"/>
  <c r="H154" i="10" s="1"/>
  <c r="J154" i="10" l="1"/>
  <c r="L154" i="10" s="1"/>
  <c r="I154" i="10"/>
  <c r="K154" i="10"/>
  <c r="M154" i="10" s="1"/>
  <c r="F155" i="10"/>
  <c r="G155" i="10"/>
  <c r="H155" i="10" s="1"/>
  <c r="D155" i="10"/>
  <c r="B156" i="10"/>
  <c r="I155" i="10" l="1"/>
  <c r="J155" i="10"/>
  <c r="L155" i="10" s="1"/>
  <c r="K155" i="10"/>
  <c r="M155" i="10" s="1"/>
  <c r="F156" i="10"/>
  <c r="G156" i="10"/>
  <c r="H156" i="10" s="1"/>
  <c r="D156" i="10"/>
  <c r="B157" i="10"/>
  <c r="K156" i="10" l="1"/>
  <c r="M156" i="10" s="1"/>
  <c r="I156" i="10"/>
  <c r="J156" i="10"/>
  <c r="L156" i="10" s="1"/>
  <c r="F157" i="10"/>
  <c r="G157" i="10"/>
  <c r="H157" i="10" s="1"/>
  <c r="B158" i="10"/>
  <c r="D157" i="10"/>
  <c r="J157" i="10" l="1"/>
  <c r="L157" i="10" s="1"/>
  <c r="I157" i="10"/>
  <c r="K157" i="10"/>
  <c r="M157" i="10" s="1"/>
  <c r="G158" i="10"/>
  <c r="H158" i="10" s="1"/>
  <c r="D158" i="10"/>
  <c r="F158" i="10"/>
  <c r="B159" i="10"/>
  <c r="I158" i="10" l="1"/>
  <c r="J158" i="10"/>
  <c r="L158" i="10" s="1"/>
  <c r="K158" i="10"/>
  <c r="M158" i="10" s="1"/>
  <c r="D159" i="10"/>
  <c r="F159" i="10"/>
  <c r="G159" i="10"/>
  <c r="H159" i="10" s="1"/>
  <c r="B160" i="10"/>
  <c r="K159" i="10" l="1"/>
  <c r="M159" i="10" s="1"/>
  <c r="I159" i="10"/>
  <c r="J159" i="10"/>
  <c r="L159" i="10" s="1"/>
  <c r="F160" i="10"/>
  <c r="D160" i="10"/>
  <c r="B161" i="10"/>
  <c r="G160" i="10"/>
  <c r="H160" i="10" s="1"/>
  <c r="K160" i="10" l="1"/>
  <c r="M160" i="10" s="1"/>
  <c r="J160" i="10"/>
  <c r="L160" i="10" s="1"/>
  <c r="I160" i="10"/>
  <c r="D161" i="10"/>
  <c r="F161" i="10"/>
  <c r="B162" i="10"/>
  <c r="G161" i="10"/>
  <c r="H161" i="10" s="1"/>
  <c r="K161" i="10" l="1"/>
  <c r="M161" i="10" s="1"/>
  <c r="J161" i="10"/>
  <c r="L161" i="10" s="1"/>
  <c r="I161" i="10"/>
  <c r="F162" i="10"/>
  <c r="G162" i="10"/>
  <c r="H162" i="10" s="1"/>
  <c r="D162" i="10"/>
  <c r="B163" i="10"/>
  <c r="I162" i="10" l="1"/>
  <c r="K162" i="10"/>
  <c r="M162" i="10" s="1"/>
  <c r="J162" i="10"/>
  <c r="L162" i="10" s="1"/>
  <c r="F163" i="10"/>
  <c r="G163" i="10"/>
  <c r="H163" i="10" s="1"/>
  <c r="D163" i="10"/>
  <c r="B164" i="10"/>
  <c r="K163" i="10" l="1"/>
  <c r="M163" i="10" s="1"/>
  <c r="I163" i="10"/>
  <c r="J163" i="10"/>
  <c r="L163" i="10" s="1"/>
  <c r="D164" i="10"/>
  <c r="F164" i="10"/>
  <c r="B165" i="10"/>
  <c r="G164" i="10"/>
  <c r="H164" i="10" s="1"/>
  <c r="J164" i="10" l="1"/>
  <c r="L164" i="10" s="1"/>
  <c r="K164" i="10"/>
  <c r="M164" i="10" s="1"/>
  <c r="I164" i="10"/>
  <c r="F165" i="10"/>
  <c r="G165" i="10"/>
  <c r="H165" i="10" s="1"/>
  <c r="B166" i="10"/>
  <c r="D165" i="10"/>
  <c r="K165" i="10" l="1"/>
  <c r="M165" i="10" s="1"/>
  <c r="I165" i="10"/>
  <c r="J165" i="10"/>
  <c r="L165" i="10" s="1"/>
  <c r="F166" i="10"/>
  <c r="D166" i="10"/>
  <c r="G166" i="10"/>
  <c r="H166" i="10" s="1"/>
  <c r="B167" i="10"/>
  <c r="K166" i="10" l="1"/>
  <c r="M166" i="10" s="1"/>
  <c r="I166" i="10"/>
  <c r="J166" i="10"/>
  <c r="L166" i="10" s="1"/>
  <c r="B168" i="10"/>
  <c r="D167" i="10"/>
  <c r="G167" i="10"/>
  <c r="H167" i="10" s="1"/>
  <c r="F167" i="10"/>
  <c r="I167" i="10" l="1"/>
  <c r="K167" i="10"/>
  <c r="M167" i="10" s="1"/>
  <c r="J167" i="10"/>
  <c r="L167" i="10" s="1"/>
  <c r="B169" i="10"/>
  <c r="G168" i="10"/>
  <c r="H168" i="10" s="1"/>
  <c r="F168" i="10"/>
  <c r="D168" i="10"/>
  <c r="I168" i="10" l="1"/>
  <c r="J168" i="10"/>
  <c r="L168" i="10" s="1"/>
  <c r="K168" i="10"/>
  <c r="M168" i="10" s="1"/>
  <c r="B170" i="10"/>
  <c r="F169" i="10"/>
  <c r="D169" i="10"/>
  <c r="G169" i="10"/>
  <c r="H169" i="10" s="1"/>
  <c r="K169" i="10" l="1"/>
  <c r="M169" i="10" s="1"/>
  <c r="J169" i="10"/>
  <c r="L169" i="10" s="1"/>
  <c r="I169" i="10"/>
  <c r="B171" i="10"/>
  <c r="D170" i="10"/>
  <c r="G170" i="10"/>
  <c r="H170" i="10" s="1"/>
  <c r="F170" i="10"/>
  <c r="K170" i="10" l="1"/>
  <c r="M170" i="10" s="1"/>
  <c r="I170" i="10"/>
  <c r="J170" i="10"/>
  <c r="L170" i="10" s="1"/>
  <c r="B172" i="10"/>
  <c r="G171" i="10"/>
  <c r="H171" i="10" s="1"/>
  <c r="D171" i="10"/>
  <c r="F171" i="10"/>
  <c r="J171" i="10" l="1"/>
  <c r="L171" i="10" s="1"/>
  <c r="K171" i="10"/>
  <c r="M171" i="10" s="1"/>
  <c r="I171" i="10"/>
  <c r="B173" i="10"/>
  <c r="G172" i="10"/>
  <c r="H172" i="10" s="1"/>
  <c r="D172" i="10"/>
  <c r="F172" i="10"/>
  <c r="J172" i="10" l="1"/>
  <c r="L172" i="10" s="1"/>
  <c r="I172" i="10"/>
  <c r="K172" i="10"/>
  <c r="M172" i="10" s="1"/>
  <c r="B174" i="10"/>
  <c r="F173" i="10"/>
  <c r="G173" i="10"/>
  <c r="H173" i="10" s="1"/>
  <c r="D173" i="10"/>
  <c r="I173" i="10" l="1"/>
  <c r="J173" i="10"/>
  <c r="L173" i="10" s="1"/>
  <c r="K173" i="10"/>
  <c r="M173" i="10" s="1"/>
  <c r="B175" i="10"/>
  <c r="G174" i="10"/>
  <c r="H174" i="10" s="1"/>
  <c r="F174" i="10"/>
  <c r="D174" i="10"/>
  <c r="J174" i="10" l="1"/>
  <c r="L174" i="10" s="1"/>
  <c r="K174" i="10"/>
  <c r="M174" i="10" s="1"/>
  <c r="I174" i="10"/>
  <c r="B176" i="10"/>
  <c r="F175" i="10"/>
  <c r="G175" i="10"/>
  <c r="H175" i="10" s="1"/>
  <c r="D175" i="10"/>
  <c r="K175" i="10" l="1"/>
  <c r="M175" i="10" s="1"/>
  <c r="J175" i="10"/>
  <c r="L175" i="10" s="1"/>
  <c r="I175" i="10"/>
  <c r="B177" i="10"/>
  <c r="D176" i="10"/>
  <c r="F176" i="10"/>
  <c r="G176" i="10"/>
  <c r="H176" i="10" s="1"/>
  <c r="J176" i="10" l="1"/>
  <c r="L176" i="10" s="1"/>
  <c r="K176" i="10"/>
  <c r="M176" i="10" s="1"/>
  <c r="I176" i="10"/>
  <c r="B178" i="10"/>
  <c r="G177" i="10"/>
  <c r="H177" i="10" s="1"/>
  <c r="F177" i="10"/>
  <c r="D177" i="10"/>
  <c r="K177" i="10" l="1"/>
  <c r="M177" i="10" s="1"/>
  <c r="J177" i="10"/>
  <c r="L177" i="10" s="1"/>
  <c r="I177" i="10"/>
  <c r="B179" i="10"/>
  <c r="F178" i="10"/>
  <c r="G178" i="10"/>
  <c r="H178" i="10" s="1"/>
  <c r="D178" i="10"/>
  <c r="K178" i="10" l="1"/>
  <c r="M178" i="10" s="1"/>
  <c r="I178" i="10"/>
  <c r="J178" i="10"/>
  <c r="L178" i="10" s="1"/>
  <c r="B180" i="10"/>
  <c r="G179" i="10"/>
  <c r="H179" i="10" s="1"/>
  <c r="D179" i="10"/>
  <c r="F179" i="10"/>
  <c r="K179" i="10" l="1"/>
  <c r="M179" i="10" s="1"/>
  <c r="J179" i="10"/>
  <c r="L179" i="10" s="1"/>
  <c r="I179" i="10"/>
  <c r="B181" i="10"/>
  <c r="G180" i="10"/>
  <c r="H180" i="10" s="1"/>
  <c r="D180" i="10"/>
  <c r="F180" i="10"/>
  <c r="K180" i="10" l="1"/>
  <c r="M180" i="10" s="1"/>
  <c r="I180" i="10"/>
  <c r="J180" i="10"/>
  <c r="L180" i="10" s="1"/>
  <c r="B182" i="10"/>
  <c r="D181" i="10"/>
  <c r="G181" i="10"/>
  <c r="H181" i="10" s="1"/>
  <c r="F181" i="10"/>
  <c r="I181" i="10" l="1"/>
  <c r="J181" i="10"/>
  <c r="L181" i="10" s="1"/>
  <c r="K181" i="10"/>
  <c r="M181" i="10" s="1"/>
  <c r="B183" i="10"/>
  <c r="G182" i="10"/>
  <c r="H182" i="10" s="1"/>
  <c r="D182" i="10"/>
  <c r="F182" i="10"/>
  <c r="J182" i="10" l="1"/>
  <c r="L182" i="10" s="1"/>
  <c r="I182" i="10"/>
  <c r="K182" i="10"/>
  <c r="M182" i="10" s="1"/>
  <c r="B184" i="10"/>
  <c r="D183" i="10"/>
  <c r="G183" i="10"/>
  <c r="H183" i="10" s="1"/>
  <c r="F183" i="10"/>
  <c r="I183" i="10" l="1"/>
  <c r="K183" i="10"/>
  <c r="M183" i="10" s="1"/>
  <c r="J183" i="10"/>
  <c r="L183" i="10" s="1"/>
  <c r="B185" i="10"/>
  <c r="D184" i="10"/>
  <c r="F184" i="10"/>
  <c r="G184" i="10"/>
  <c r="H184" i="10" s="1"/>
  <c r="I184" i="10" l="1"/>
  <c r="K184" i="10"/>
  <c r="M184" i="10" s="1"/>
  <c r="J184" i="10"/>
  <c r="L184" i="10" s="1"/>
  <c r="B186" i="10"/>
  <c r="D185" i="10"/>
  <c r="F185" i="10"/>
  <c r="G185" i="10"/>
  <c r="H185" i="10" s="1"/>
  <c r="J185" i="10" l="1"/>
  <c r="L185" i="10" s="1"/>
  <c r="I185" i="10"/>
  <c r="K185" i="10"/>
  <c r="M185" i="10" s="1"/>
  <c r="B187" i="10"/>
  <c r="D186" i="10"/>
  <c r="G186" i="10"/>
  <c r="H186" i="10" s="1"/>
  <c r="F186" i="10"/>
  <c r="K186" i="10" l="1"/>
  <c r="M186" i="10" s="1"/>
  <c r="J186" i="10"/>
  <c r="L186" i="10" s="1"/>
  <c r="I186" i="10"/>
  <c r="B188" i="10"/>
  <c r="F187" i="10"/>
  <c r="D187" i="10"/>
  <c r="G187" i="10"/>
  <c r="H187" i="10" s="1"/>
  <c r="I187" i="10" l="1"/>
  <c r="K187" i="10"/>
  <c r="M187" i="10" s="1"/>
  <c r="J187" i="10"/>
  <c r="L187" i="10" s="1"/>
  <c r="B189" i="10"/>
  <c r="F188" i="10"/>
  <c r="G188" i="10"/>
  <c r="H188" i="10" s="1"/>
  <c r="D188" i="10"/>
  <c r="J188" i="10" l="1"/>
  <c r="L188" i="10" s="1"/>
  <c r="K188" i="10"/>
  <c r="M188" i="10" s="1"/>
  <c r="I188" i="10"/>
  <c r="B190" i="10"/>
  <c r="G189" i="10"/>
  <c r="H189" i="10" s="1"/>
  <c r="F189" i="10"/>
  <c r="D189" i="10"/>
  <c r="J189" i="10" l="1"/>
  <c r="L189" i="10" s="1"/>
  <c r="I189" i="10"/>
  <c r="K189" i="10"/>
  <c r="M189" i="10" s="1"/>
  <c r="B191" i="10"/>
  <c r="F190" i="10"/>
  <c r="D190" i="10"/>
  <c r="G190" i="10"/>
  <c r="H190" i="10" s="1"/>
  <c r="K190" i="10" l="1"/>
  <c r="M190" i="10" s="1"/>
  <c r="J190" i="10"/>
  <c r="L190" i="10" s="1"/>
  <c r="I190" i="10"/>
  <c r="B192" i="10"/>
  <c r="D191" i="10"/>
  <c r="F191" i="10"/>
  <c r="G191" i="10"/>
  <c r="H191" i="10" s="1"/>
  <c r="K191" i="10" l="1"/>
  <c r="M191" i="10" s="1"/>
  <c r="J191" i="10"/>
  <c r="L191" i="10" s="1"/>
  <c r="I191" i="10"/>
  <c r="B193" i="10"/>
  <c r="F192" i="10"/>
  <c r="D192" i="10"/>
  <c r="G192" i="10"/>
  <c r="H192" i="10" s="1"/>
  <c r="I192" i="10" l="1"/>
  <c r="K192" i="10"/>
  <c r="M192" i="10" s="1"/>
  <c r="J192" i="10"/>
  <c r="L192" i="10" s="1"/>
  <c r="B194" i="10"/>
  <c r="D193" i="10"/>
  <c r="F193" i="10"/>
  <c r="G193" i="10"/>
  <c r="H193" i="10" s="1"/>
  <c r="I193" i="10" l="1"/>
  <c r="K193" i="10"/>
  <c r="M193" i="10" s="1"/>
  <c r="J193" i="10"/>
  <c r="L193" i="10" s="1"/>
  <c r="B195" i="10"/>
  <c r="D194" i="10"/>
  <c r="F194" i="10"/>
  <c r="G194" i="10"/>
  <c r="H194" i="10" s="1"/>
  <c r="J194" i="10" l="1"/>
  <c r="L194" i="10" s="1"/>
  <c r="I194" i="10"/>
  <c r="K194" i="10"/>
  <c r="M194" i="10" s="1"/>
  <c r="B196" i="10"/>
  <c r="G195" i="10"/>
  <c r="H195" i="10" s="1"/>
  <c r="F195" i="10"/>
  <c r="D195" i="10"/>
  <c r="K195" i="10" l="1"/>
  <c r="M195" i="10" s="1"/>
  <c r="J195" i="10"/>
  <c r="L195" i="10" s="1"/>
  <c r="I195" i="10"/>
  <c r="B197" i="10"/>
  <c r="F196" i="10"/>
  <c r="D196" i="10"/>
  <c r="G196" i="10"/>
  <c r="H196" i="10" s="1"/>
  <c r="J196" i="10" l="1"/>
  <c r="L196" i="10" s="1"/>
  <c r="I196" i="10"/>
  <c r="K196" i="10"/>
  <c r="M196" i="10" s="1"/>
  <c r="B198" i="10"/>
  <c r="D197" i="10"/>
  <c r="G197" i="10"/>
  <c r="H197" i="10" s="1"/>
  <c r="F197" i="10"/>
  <c r="J197" i="10" l="1"/>
  <c r="L197" i="10" s="1"/>
  <c r="I197" i="10"/>
  <c r="K197" i="10"/>
  <c r="M197" i="10" s="1"/>
  <c r="B199" i="10"/>
  <c r="G198" i="10"/>
  <c r="H198" i="10" s="1"/>
  <c r="F198" i="10"/>
  <c r="D198" i="10"/>
  <c r="K198" i="10" l="1"/>
  <c r="M198" i="10" s="1"/>
  <c r="J198" i="10"/>
  <c r="L198" i="10" s="1"/>
  <c r="I198" i="10"/>
  <c r="B200" i="10"/>
  <c r="F199" i="10"/>
  <c r="D199" i="10"/>
  <c r="G199" i="10"/>
  <c r="H199" i="10" s="1"/>
  <c r="J199" i="10" l="1"/>
  <c r="L199" i="10" s="1"/>
  <c r="K199" i="10"/>
  <c r="M199" i="10" s="1"/>
  <c r="I199" i="10"/>
  <c r="B201" i="10"/>
  <c r="F200" i="10"/>
  <c r="G200" i="10"/>
  <c r="H200" i="10" s="1"/>
  <c r="D200" i="10"/>
  <c r="K200" i="10" l="1"/>
  <c r="M200" i="10" s="1"/>
  <c r="J200" i="10"/>
  <c r="L200" i="10" s="1"/>
  <c r="I200" i="10"/>
  <c r="B202" i="10"/>
  <c r="D201" i="10"/>
  <c r="F201" i="10"/>
  <c r="G201" i="10"/>
  <c r="H201" i="10" s="1"/>
  <c r="I201" i="10" l="1"/>
  <c r="J201" i="10"/>
  <c r="L201" i="10" s="1"/>
  <c r="K201" i="10"/>
  <c r="M201" i="10" s="1"/>
  <c r="B203" i="10"/>
  <c r="F202" i="10"/>
  <c r="G202" i="10"/>
  <c r="H202" i="10" s="1"/>
  <c r="D202" i="10"/>
  <c r="I202" i="10" l="1"/>
  <c r="J202" i="10"/>
  <c r="L202" i="10" s="1"/>
  <c r="K202" i="10"/>
  <c r="M202" i="10" s="1"/>
  <c r="B204" i="10"/>
  <c r="D203" i="10"/>
  <c r="F203" i="10"/>
  <c r="G203" i="10"/>
  <c r="H203" i="10" s="1"/>
  <c r="I203" i="10" l="1"/>
  <c r="K203" i="10"/>
  <c r="M203" i="10" s="1"/>
  <c r="J203" i="10"/>
  <c r="L203" i="10" s="1"/>
  <c r="B205" i="10"/>
  <c r="G204" i="10"/>
  <c r="H204" i="10" s="1"/>
  <c r="F204" i="10"/>
  <c r="D204" i="10"/>
  <c r="J204" i="10" l="1"/>
  <c r="L204" i="10" s="1"/>
  <c r="K204" i="10"/>
  <c r="M204" i="10" s="1"/>
  <c r="I204" i="10"/>
  <c r="B206" i="10"/>
  <c r="G205" i="10"/>
  <c r="H205" i="10" s="1"/>
  <c r="F205" i="10"/>
  <c r="D205" i="10"/>
  <c r="J205" i="10" l="1"/>
  <c r="L205" i="10" s="1"/>
  <c r="I205" i="10"/>
  <c r="K205" i="10"/>
  <c r="M205" i="10" s="1"/>
  <c r="B207" i="10"/>
  <c r="D206" i="10"/>
  <c r="F206" i="10"/>
  <c r="G206" i="10"/>
  <c r="H206" i="10" s="1"/>
  <c r="I206" i="10" l="1"/>
  <c r="J206" i="10"/>
  <c r="L206" i="10" s="1"/>
  <c r="K206" i="10"/>
  <c r="M206" i="10" s="1"/>
  <c r="B208" i="10"/>
  <c r="G207" i="10"/>
  <c r="H207" i="10" s="1"/>
  <c r="F207" i="10"/>
  <c r="D207" i="10"/>
  <c r="I207" i="10" l="1"/>
  <c r="J207" i="10"/>
  <c r="L207" i="10" s="1"/>
  <c r="K207" i="10"/>
  <c r="M207" i="10" s="1"/>
  <c r="B209" i="10"/>
  <c r="G208" i="10"/>
  <c r="H208" i="10" s="1"/>
  <c r="D208" i="10"/>
  <c r="F208" i="10"/>
  <c r="J208" i="10" l="1"/>
  <c r="L208" i="10" s="1"/>
  <c r="I208" i="10"/>
  <c r="K208" i="10"/>
  <c r="M208" i="10" s="1"/>
  <c r="B210" i="10"/>
  <c r="F209" i="10"/>
  <c r="G209" i="10"/>
  <c r="H209" i="10" s="1"/>
  <c r="D209" i="10"/>
  <c r="J209" i="10" l="1"/>
  <c r="L209" i="10" s="1"/>
  <c r="K209" i="10"/>
  <c r="M209" i="10" s="1"/>
  <c r="I209" i="10"/>
  <c r="B211" i="10"/>
  <c r="D210" i="10"/>
  <c r="G210" i="10"/>
  <c r="H210" i="10" s="1"/>
  <c r="F210" i="10"/>
  <c r="K210" i="10" l="1"/>
  <c r="M210" i="10" s="1"/>
  <c r="J210" i="10"/>
  <c r="L210" i="10" s="1"/>
  <c r="I210" i="10"/>
  <c r="B212" i="10"/>
  <c r="D211" i="10"/>
  <c r="F211" i="10"/>
  <c r="G211" i="10"/>
  <c r="H211" i="10" s="1"/>
  <c r="I211" i="10" l="1"/>
  <c r="K211" i="10"/>
  <c r="M211" i="10" s="1"/>
  <c r="J211" i="10"/>
  <c r="L211" i="10" s="1"/>
  <c r="B213" i="10"/>
  <c r="G212" i="10"/>
  <c r="H212" i="10" s="1"/>
  <c r="F212" i="10"/>
  <c r="D212" i="10"/>
  <c r="J212" i="10" l="1"/>
  <c r="L212" i="10" s="1"/>
  <c r="K212" i="10"/>
  <c r="M212" i="10" s="1"/>
  <c r="I212" i="10"/>
  <c r="B214" i="10"/>
  <c r="D213" i="10"/>
  <c r="F213" i="10"/>
  <c r="G213" i="10"/>
  <c r="H213" i="10" s="1"/>
  <c r="I213" i="10" l="1"/>
  <c r="J213" i="10"/>
  <c r="L213" i="10" s="1"/>
  <c r="K213" i="10"/>
  <c r="M213" i="10" s="1"/>
  <c r="B215" i="10"/>
  <c r="F214" i="10"/>
  <c r="G214" i="10"/>
  <c r="H214" i="10" s="1"/>
  <c r="D214" i="10"/>
  <c r="K214" i="10" l="1"/>
  <c r="M214" i="10" s="1"/>
  <c r="J214" i="10"/>
  <c r="L214" i="10" s="1"/>
  <c r="I214" i="10"/>
  <c r="B216" i="10"/>
  <c r="F215" i="10"/>
  <c r="G215" i="10"/>
  <c r="H215" i="10" s="1"/>
  <c r="D215" i="10"/>
  <c r="K215" i="10" l="1"/>
  <c r="M215" i="10" s="1"/>
  <c r="J215" i="10"/>
  <c r="L215" i="10" s="1"/>
  <c r="I215" i="10"/>
  <c r="B217" i="10"/>
  <c r="G216" i="10"/>
  <c r="H216" i="10" s="1"/>
  <c r="D216" i="10"/>
  <c r="F216" i="10"/>
  <c r="I216" i="10" l="1"/>
  <c r="K216" i="10"/>
  <c r="M216" i="10" s="1"/>
  <c r="J216" i="10"/>
  <c r="L216" i="10" s="1"/>
  <c r="B218" i="10"/>
  <c r="G217" i="10"/>
  <c r="H217" i="10" s="1"/>
  <c r="D217" i="10"/>
  <c r="F217" i="10"/>
  <c r="K217" i="10" l="1"/>
  <c r="M217" i="10" s="1"/>
  <c r="I217" i="10"/>
  <c r="J217" i="10"/>
  <c r="L217" i="10" s="1"/>
  <c r="B219" i="10"/>
  <c r="D218" i="10"/>
  <c r="G218" i="10"/>
  <c r="H218" i="10" s="1"/>
  <c r="F218" i="10"/>
  <c r="J218" i="10" l="1"/>
  <c r="L218" i="10" s="1"/>
  <c r="I218" i="10"/>
  <c r="K218" i="10"/>
  <c r="M218" i="10" s="1"/>
  <c r="B220" i="10"/>
  <c r="F219" i="10"/>
  <c r="G219" i="10"/>
  <c r="H219" i="10" s="1"/>
  <c r="D219" i="10"/>
  <c r="J219" i="10" l="1"/>
  <c r="L219" i="10" s="1"/>
  <c r="I219" i="10"/>
  <c r="K219" i="10"/>
  <c r="M219" i="10" s="1"/>
  <c r="B221" i="10"/>
  <c r="F220" i="10"/>
  <c r="G220" i="10"/>
  <c r="H220" i="10" s="1"/>
  <c r="D220" i="10"/>
  <c r="K220" i="10" l="1"/>
  <c r="M220" i="10" s="1"/>
  <c r="J220" i="10"/>
  <c r="L220" i="10" s="1"/>
  <c r="I220" i="10"/>
  <c r="B222" i="10"/>
  <c r="F221" i="10"/>
  <c r="D221" i="10"/>
  <c r="G221" i="10"/>
  <c r="H221" i="10" s="1"/>
  <c r="K221" i="10" l="1"/>
  <c r="M221" i="10" s="1"/>
  <c r="I221" i="10"/>
  <c r="J221" i="10"/>
  <c r="L221" i="10" s="1"/>
  <c r="B223" i="10"/>
  <c r="D222" i="10"/>
  <c r="G222" i="10"/>
  <c r="H222" i="10" s="1"/>
  <c r="F222" i="10"/>
  <c r="K222" i="10" l="1"/>
  <c r="M222" i="10" s="1"/>
  <c r="J222" i="10"/>
  <c r="L222" i="10" s="1"/>
  <c r="I222" i="10"/>
  <c r="B224" i="10"/>
  <c r="F223" i="10"/>
  <c r="G223" i="10"/>
  <c r="H223" i="10" s="1"/>
  <c r="D223" i="10"/>
  <c r="B225" i="10" l="1"/>
  <c r="G224" i="10"/>
  <c r="H224" i="10" s="1"/>
  <c r="D224" i="10"/>
  <c r="F224" i="10"/>
  <c r="J223" i="10"/>
  <c r="L223" i="10" s="1"/>
  <c r="I223" i="10"/>
  <c r="K223" i="10"/>
  <c r="M223" i="10" s="1"/>
  <c r="I224" i="10" l="1"/>
  <c r="J224" i="10"/>
  <c r="L224" i="10" s="1"/>
  <c r="K224" i="10"/>
  <c r="M224" i="10" s="1"/>
  <c r="B226" i="10"/>
  <c r="F225" i="10"/>
  <c r="G225" i="10"/>
  <c r="H225" i="10" s="1"/>
  <c r="D225" i="10"/>
  <c r="I225" i="10" l="1"/>
  <c r="K225" i="10"/>
  <c r="M225" i="10" s="1"/>
  <c r="J225" i="10"/>
  <c r="L225" i="10" s="1"/>
  <c r="B227" i="10"/>
  <c r="F226" i="10"/>
  <c r="G226" i="10"/>
  <c r="H226" i="10" s="1"/>
  <c r="D226" i="10"/>
  <c r="K226" i="10" l="1"/>
  <c r="M226" i="10" s="1"/>
  <c r="I226" i="10"/>
  <c r="J226" i="10"/>
  <c r="L226" i="10" s="1"/>
  <c r="B228" i="10"/>
  <c r="G227" i="10"/>
  <c r="H227" i="10" s="1"/>
  <c r="F227" i="10"/>
  <c r="D227" i="10"/>
  <c r="K227" i="10" l="1"/>
  <c r="M227" i="10" s="1"/>
  <c r="I227" i="10"/>
  <c r="J227" i="10"/>
  <c r="L227" i="10" s="1"/>
  <c r="B229" i="10"/>
  <c r="F228" i="10"/>
  <c r="D228" i="10"/>
  <c r="G228" i="10"/>
  <c r="H228" i="10" s="1"/>
  <c r="I228" i="10" l="1"/>
  <c r="J228" i="10"/>
  <c r="L228" i="10" s="1"/>
  <c r="K228" i="10"/>
  <c r="M228" i="10" s="1"/>
  <c r="B230" i="10"/>
  <c r="G229" i="10"/>
  <c r="H229" i="10" s="1"/>
  <c r="D229" i="10"/>
  <c r="F229" i="10"/>
  <c r="K229" i="10" l="1"/>
  <c r="M229" i="10" s="1"/>
  <c r="I229" i="10"/>
  <c r="J229" i="10"/>
  <c r="L229" i="10" s="1"/>
  <c r="B231" i="10"/>
  <c r="F230" i="10"/>
  <c r="G230" i="10"/>
  <c r="H230" i="10" s="1"/>
  <c r="D230" i="10"/>
  <c r="K230" i="10" l="1"/>
  <c r="M230" i="10" s="1"/>
  <c r="J230" i="10"/>
  <c r="L230" i="10" s="1"/>
  <c r="I230" i="10"/>
  <c r="B232" i="10"/>
  <c r="F231" i="10"/>
  <c r="D231" i="10"/>
  <c r="G231" i="10"/>
  <c r="H231" i="10" s="1"/>
  <c r="K231" i="10" l="1"/>
  <c r="M231" i="10" s="1"/>
  <c r="J231" i="10"/>
  <c r="L231" i="10" s="1"/>
  <c r="I231" i="10"/>
  <c r="B233" i="10"/>
  <c r="D232" i="10"/>
  <c r="F232" i="10"/>
  <c r="G232" i="10"/>
  <c r="H232" i="10" s="1"/>
  <c r="I232" i="10" l="1"/>
  <c r="J232" i="10"/>
  <c r="L232" i="10" s="1"/>
  <c r="K232" i="10"/>
  <c r="M232" i="10" s="1"/>
  <c r="B234" i="10"/>
  <c r="G233" i="10"/>
  <c r="H233" i="10" s="1"/>
  <c r="D233" i="10"/>
  <c r="F233" i="10"/>
  <c r="K233" i="10" l="1"/>
  <c r="M233" i="10" s="1"/>
  <c r="J233" i="10"/>
  <c r="L233" i="10" s="1"/>
  <c r="I233" i="10"/>
  <c r="G234" i="10"/>
  <c r="H234" i="10" s="1"/>
  <c r="B235" i="10"/>
  <c r="D234" i="10"/>
  <c r="F234" i="10"/>
  <c r="I234" i="10" l="1"/>
  <c r="J234" i="10"/>
  <c r="L234" i="10" s="1"/>
  <c r="K234" i="10"/>
  <c r="M234" i="10" s="1"/>
  <c r="F235" i="10"/>
  <c r="D235" i="10"/>
  <c r="G235" i="10"/>
  <c r="H235" i="10" s="1"/>
  <c r="B236" i="10"/>
  <c r="I235" i="10" l="1"/>
  <c r="J235" i="10"/>
  <c r="L235" i="10" s="1"/>
  <c r="K235" i="10"/>
  <c r="M235" i="10" s="1"/>
  <c r="F236" i="10"/>
  <c r="G236" i="10"/>
  <c r="H236" i="10" s="1"/>
  <c r="D236" i="10"/>
  <c r="B237" i="10"/>
  <c r="J236" i="10" l="1"/>
  <c r="L236" i="10" s="1"/>
  <c r="K236" i="10"/>
  <c r="M236" i="10" s="1"/>
  <c r="I236" i="10"/>
  <c r="G237" i="10"/>
  <c r="H237" i="10" s="1"/>
  <c r="D237" i="10"/>
  <c r="F237" i="10"/>
  <c r="B238" i="10"/>
  <c r="I237" i="10" l="1"/>
  <c r="J237" i="10"/>
  <c r="L237" i="10" s="1"/>
  <c r="K237" i="10"/>
  <c r="M237" i="10" s="1"/>
  <c r="D238" i="10"/>
  <c r="G238" i="10"/>
  <c r="H238" i="10" s="1"/>
  <c r="F238" i="10"/>
  <c r="B239" i="10"/>
  <c r="J238" i="10" l="1"/>
  <c r="L238" i="10" s="1"/>
  <c r="K238" i="10"/>
  <c r="M238" i="10" s="1"/>
  <c r="I238" i="10"/>
  <c r="D239" i="10"/>
  <c r="F239" i="10"/>
  <c r="G239" i="10"/>
  <c r="H239" i="10" s="1"/>
  <c r="B240" i="10"/>
  <c r="I239" i="10" l="1"/>
  <c r="K239" i="10"/>
  <c r="M239" i="10" s="1"/>
  <c r="J239" i="10"/>
  <c r="L239" i="10" s="1"/>
  <c r="F240" i="10"/>
  <c r="G240" i="10"/>
  <c r="H240" i="10" s="1"/>
  <c r="D240" i="10"/>
  <c r="B241" i="10"/>
  <c r="J240" i="10" l="1"/>
  <c r="L240" i="10" s="1"/>
  <c r="I240" i="10"/>
  <c r="K240" i="10"/>
  <c r="M240" i="10" s="1"/>
  <c r="D241" i="10"/>
  <c r="G241" i="10"/>
  <c r="H241" i="10" s="1"/>
  <c r="F241" i="10"/>
  <c r="B242" i="10"/>
  <c r="K241" i="10" l="1"/>
  <c r="M241" i="10" s="1"/>
  <c r="I241" i="10"/>
  <c r="J241" i="10"/>
  <c r="L241" i="10" s="1"/>
  <c r="G242" i="10"/>
  <c r="H242" i="10" s="1"/>
  <c r="D242" i="10"/>
  <c r="F242" i="10"/>
  <c r="B243" i="10"/>
  <c r="G243" i="10" l="1"/>
  <c r="H243" i="10" s="1"/>
  <c r="D243" i="10"/>
  <c r="F243" i="10"/>
  <c r="B244" i="10"/>
  <c r="K242" i="10"/>
  <c r="M242" i="10" s="1"/>
  <c r="J242" i="10"/>
  <c r="L242" i="10" s="1"/>
  <c r="I242" i="10"/>
  <c r="J243" i="10" l="1"/>
  <c r="L243" i="10" s="1"/>
  <c r="I243" i="10"/>
  <c r="K243" i="10"/>
  <c r="M243" i="10" s="1"/>
  <c r="D244" i="10"/>
  <c r="G244" i="10"/>
  <c r="H244" i="10" s="1"/>
  <c r="F244" i="10"/>
  <c r="B245" i="10"/>
  <c r="K244" i="10" l="1"/>
  <c r="M244" i="10" s="1"/>
  <c r="J244" i="10"/>
  <c r="L244" i="10" s="1"/>
  <c r="I244" i="10"/>
  <c r="G245" i="10"/>
  <c r="H245" i="10" s="1"/>
  <c r="F245" i="10"/>
  <c r="D245" i="10"/>
  <c r="B246" i="10"/>
  <c r="K245" i="10" l="1"/>
  <c r="M245" i="10" s="1"/>
  <c r="J245" i="10"/>
  <c r="L245" i="10" s="1"/>
  <c r="I245" i="10"/>
  <c r="G246" i="10"/>
  <c r="H246" i="10" s="1"/>
  <c r="D246" i="10"/>
  <c r="F246" i="10"/>
  <c r="B247" i="10"/>
  <c r="I246" i="10" l="1"/>
  <c r="J246" i="10"/>
  <c r="L246" i="10" s="1"/>
  <c r="K246" i="10"/>
  <c r="M246" i="10" s="1"/>
  <c r="G247" i="10"/>
  <c r="H247" i="10" s="1"/>
  <c r="D247" i="10"/>
  <c r="F247" i="10"/>
  <c r="B248" i="10"/>
  <c r="K247" i="10" l="1"/>
  <c r="M247" i="10" s="1"/>
  <c r="J247" i="10"/>
  <c r="L247" i="10" s="1"/>
  <c r="I247" i="10"/>
  <c r="G248" i="10"/>
  <c r="H248" i="10" s="1"/>
  <c r="D248" i="10"/>
  <c r="F248" i="10"/>
  <c r="B249" i="10"/>
  <c r="K248" i="10" l="1"/>
  <c r="M248" i="10" s="1"/>
  <c r="I248" i="10"/>
  <c r="J248" i="10"/>
  <c r="L248" i="10" s="1"/>
  <c r="G249" i="10"/>
  <c r="H249" i="10" s="1"/>
  <c r="F249" i="10"/>
  <c r="D249" i="10"/>
  <c r="B250" i="10"/>
  <c r="G250" i="10" l="1"/>
  <c r="H250" i="10" s="1"/>
  <c r="D250" i="10"/>
  <c r="F250" i="10"/>
  <c r="B251" i="10"/>
  <c r="K249" i="10"/>
  <c r="M249" i="10" s="1"/>
  <c r="I249" i="10"/>
  <c r="J249" i="10"/>
  <c r="L249" i="10" s="1"/>
  <c r="K250" i="10" l="1"/>
  <c r="M250" i="10" s="1"/>
  <c r="I250" i="10"/>
  <c r="J250" i="10"/>
  <c r="L250" i="10" s="1"/>
  <c r="G251" i="10"/>
  <c r="H251" i="10" s="1"/>
  <c r="F251" i="10"/>
  <c r="D251" i="10"/>
  <c r="B252" i="10"/>
  <c r="J251" i="10" l="1"/>
  <c r="L251" i="10" s="1"/>
  <c r="I251" i="10"/>
  <c r="K251" i="10"/>
  <c r="M251" i="10" s="1"/>
  <c r="G252" i="10"/>
  <c r="H252" i="10" s="1"/>
  <c r="D252" i="10"/>
  <c r="F252" i="10"/>
  <c r="B253" i="10"/>
  <c r="K252" i="10" l="1"/>
  <c r="M252" i="10" s="1"/>
  <c r="I252" i="10"/>
  <c r="J252" i="10"/>
  <c r="L252" i="10" s="1"/>
  <c r="F253" i="10"/>
  <c r="G253" i="10"/>
  <c r="H253" i="10" s="1"/>
  <c r="D253" i="10"/>
  <c r="B254" i="10"/>
  <c r="J253" i="10" l="1"/>
  <c r="L253" i="10" s="1"/>
  <c r="K253" i="10"/>
  <c r="M253" i="10" s="1"/>
  <c r="I253" i="10"/>
  <c r="G254" i="10"/>
  <c r="H254" i="10" s="1"/>
  <c r="F254" i="10"/>
  <c r="D254" i="10"/>
  <c r="B255" i="10"/>
  <c r="J254" i="10" l="1"/>
  <c r="L254" i="10" s="1"/>
  <c r="I254" i="10"/>
  <c r="K254" i="10"/>
  <c r="M254" i="10" s="1"/>
  <c r="F255" i="10"/>
  <c r="G255" i="10"/>
  <c r="H255" i="10" s="1"/>
  <c r="D255" i="10"/>
  <c r="B256" i="10"/>
  <c r="I255" i="10" l="1"/>
  <c r="J255" i="10"/>
  <c r="L255" i="10" s="1"/>
  <c r="K255" i="10"/>
  <c r="M255" i="10" s="1"/>
  <c r="G256" i="10"/>
  <c r="H256" i="10" s="1"/>
  <c r="D256" i="10"/>
  <c r="F256" i="10"/>
  <c r="B257" i="10"/>
  <c r="J256" i="10" l="1"/>
  <c r="L256" i="10" s="1"/>
  <c r="K256" i="10"/>
  <c r="M256" i="10" s="1"/>
  <c r="I256" i="10"/>
  <c r="F257" i="10"/>
  <c r="G257" i="10"/>
  <c r="H257" i="10" s="1"/>
  <c r="D257" i="10"/>
  <c r="B258" i="10"/>
  <c r="J257" i="10" l="1"/>
  <c r="L257" i="10" s="1"/>
  <c r="I257" i="10"/>
  <c r="K257" i="10"/>
  <c r="M257" i="10" s="1"/>
  <c r="F258" i="10"/>
  <c r="G258" i="10"/>
  <c r="H258" i="10" s="1"/>
  <c r="D258" i="10"/>
  <c r="B259" i="10"/>
  <c r="I258" i="10" l="1"/>
  <c r="J258" i="10"/>
  <c r="L258" i="10" s="1"/>
  <c r="K258" i="10"/>
  <c r="M258" i="10" s="1"/>
  <c r="F259" i="10"/>
  <c r="D259" i="10"/>
  <c r="G259" i="10"/>
  <c r="H259" i="10" s="1"/>
  <c r="B260" i="10"/>
  <c r="I259" i="10" l="1"/>
  <c r="K259" i="10"/>
  <c r="M259" i="10" s="1"/>
  <c r="J259" i="10"/>
  <c r="L259" i="10" s="1"/>
  <c r="F260" i="10"/>
  <c r="D260" i="10"/>
  <c r="G260" i="10"/>
  <c r="H260" i="10" s="1"/>
  <c r="B261" i="10"/>
  <c r="J260" i="10" l="1"/>
  <c r="L260" i="10" s="1"/>
  <c r="K260" i="10"/>
  <c r="M260" i="10" s="1"/>
  <c r="I260" i="10"/>
  <c r="G261" i="10"/>
  <c r="H261" i="10" s="1"/>
  <c r="D261" i="10"/>
  <c r="F261" i="10"/>
  <c r="B262" i="10"/>
  <c r="K261" i="10" l="1"/>
  <c r="M261" i="10" s="1"/>
  <c r="I261" i="10"/>
  <c r="J261" i="10"/>
  <c r="L261" i="10" s="1"/>
  <c r="G262" i="10"/>
  <c r="H262" i="10" s="1"/>
  <c r="D262" i="10"/>
  <c r="F262" i="10"/>
  <c r="B263" i="10"/>
  <c r="J262" i="10" l="1"/>
  <c r="L262" i="10" s="1"/>
  <c r="I262" i="10"/>
  <c r="K262" i="10"/>
  <c r="M262" i="10" s="1"/>
  <c r="G263" i="10"/>
  <c r="H263" i="10" s="1"/>
  <c r="F263" i="10"/>
  <c r="D263" i="10"/>
  <c r="B264" i="10"/>
  <c r="K263" i="10" l="1"/>
  <c r="M263" i="10" s="1"/>
  <c r="I263" i="10"/>
  <c r="J263" i="10"/>
  <c r="L263" i="10" s="1"/>
  <c r="F264" i="10"/>
  <c r="D264" i="10"/>
  <c r="G264" i="10"/>
  <c r="H264" i="10" s="1"/>
  <c r="B265" i="10"/>
  <c r="J264" i="10" l="1"/>
  <c r="L264" i="10" s="1"/>
  <c r="I264" i="10"/>
  <c r="K264" i="10"/>
  <c r="M264" i="10" s="1"/>
  <c r="G265" i="10"/>
  <c r="H265" i="10" s="1"/>
  <c r="D265" i="10"/>
  <c r="F265" i="10"/>
  <c r="B266" i="10"/>
  <c r="I265" i="10" l="1"/>
  <c r="J265" i="10"/>
  <c r="L265" i="10" s="1"/>
  <c r="K265" i="10"/>
  <c r="M265" i="10" s="1"/>
  <c r="D266" i="10"/>
  <c r="F266" i="10"/>
  <c r="G266" i="10"/>
  <c r="H266" i="10" s="1"/>
  <c r="B267" i="10"/>
  <c r="K266" i="10" l="1"/>
  <c r="M266" i="10" s="1"/>
  <c r="J266" i="10"/>
  <c r="L266" i="10" s="1"/>
  <c r="I266" i="10"/>
  <c r="D267" i="10"/>
  <c r="F267" i="10"/>
  <c r="G267" i="10"/>
  <c r="H267" i="10" s="1"/>
  <c r="B268" i="10"/>
  <c r="K267" i="10" l="1"/>
  <c r="M267" i="10" s="1"/>
  <c r="I267" i="10"/>
  <c r="J267" i="10"/>
  <c r="L267" i="10" s="1"/>
  <c r="F268" i="10"/>
  <c r="G268" i="10"/>
  <c r="H268" i="10" s="1"/>
  <c r="D268" i="10"/>
  <c r="B269" i="10"/>
  <c r="I268" i="10" l="1"/>
  <c r="K268" i="10"/>
  <c r="M268" i="10" s="1"/>
  <c r="J268" i="10"/>
  <c r="L268" i="10" s="1"/>
  <c r="F269" i="10"/>
  <c r="G269" i="10"/>
  <c r="H269" i="10" s="1"/>
  <c r="D269" i="10"/>
  <c r="B270" i="10"/>
  <c r="K269" i="10" l="1"/>
  <c r="M269" i="10" s="1"/>
  <c r="J269" i="10"/>
  <c r="L269" i="10" s="1"/>
  <c r="I269" i="10"/>
  <c r="F270" i="10"/>
  <c r="D270" i="10"/>
  <c r="G270" i="10"/>
  <c r="H270" i="10" s="1"/>
  <c r="B271" i="10"/>
  <c r="I270" i="10" l="1"/>
  <c r="J270" i="10"/>
  <c r="L270" i="10" s="1"/>
  <c r="K270" i="10"/>
  <c r="M270" i="10" s="1"/>
  <c r="G271" i="10"/>
  <c r="H271" i="10" s="1"/>
  <c r="F271" i="10"/>
  <c r="D271" i="10"/>
  <c r="B272" i="10"/>
  <c r="K271" i="10" l="1"/>
  <c r="M271" i="10" s="1"/>
  <c r="J271" i="10"/>
  <c r="L271" i="10" s="1"/>
  <c r="I271" i="10"/>
  <c r="G272" i="10"/>
  <c r="H272" i="10" s="1"/>
  <c r="F272" i="10"/>
  <c r="D272" i="10"/>
  <c r="B273" i="10"/>
  <c r="I272" i="10" l="1"/>
  <c r="K272" i="10"/>
  <c r="M272" i="10" s="1"/>
  <c r="J272" i="10"/>
  <c r="L272" i="10" s="1"/>
  <c r="F273" i="10"/>
  <c r="G273" i="10"/>
  <c r="H273" i="10" s="1"/>
  <c r="D273" i="10"/>
  <c r="B274" i="10"/>
  <c r="J273" i="10" l="1"/>
  <c r="L273" i="10" s="1"/>
  <c r="I273" i="10"/>
  <c r="K273" i="10"/>
  <c r="M273" i="10" s="1"/>
  <c r="F274" i="10"/>
  <c r="G274" i="10"/>
  <c r="H274" i="10" s="1"/>
  <c r="D274" i="10"/>
  <c r="B275" i="10"/>
  <c r="K274" i="10" l="1"/>
  <c r="M274" i="10" s="1"/>
  <c r="J274" i="10"/>
  <c r="L274" i="10" s="1"/>
  <c r="I274" i="10"/>
  <c r="D275" i="10"/>
  <c r="F275" i="10"/>
  <c r="G275" i="10"/>
  <c r="H275" i="10" s="1"/>
  <c r="B276" i="10"/>
  <c r="J275" i="10" l="1"/>
  <c r="L275" i="10" s="1"/>
  <c r="I275" i="10"/>
  <c r="K275" i="10"/>
  <c r="M275" i="10" s="1"/>
  <c r="D276" i="10"/>
  <c r="G276" i="10"/>
  <c r="H276" i="10" s="1"/>
  <c r="F276" i="10"/>
  <c r="B277" i="10"/>
  <c r="I276" i="10" l="1"/>
  <c r="K276" i="10"/>
  <c r="M276" i="10" s="1"/>
  <c r="J276" i="10"/>
  <c r="L276" i="10" s="1"/>
  <c r="G277" i="10"/>
  <c r="H277" i="10" s="1"/>
  <c r="D277" i="10"/>
  <c r="F277" i="10"/>
  <c r="B278" i="10"/>
  <c r="I277" i="10" l="1"/>
  <c r="K277" i="10"/>
  <c r="M277" i="10" s="1"/>
  <c r="J277" i="10"/>
  <c r="L277" i="10" s="1"/>
  <c r="D278" i="10"/>
  <c r="G278" i="10"/>
  <c r="H278" i="10" s="1"/>
  <c r="F278" i="10"/>
  <c r="B279" i="10"/>
  <c r="K278" i="10" l="1"/>
  <c r="M278" i="10" s="1"/>
  <c r="I278" i="10"/>
  <c r="J278" i="10"/>
  <c r="L278" i="10" s="1"/>
  <c r="D279" i="10"/>
  <c r="G279" i="10"/>
  <c r="H279" i="10" s="1"/>
  <c r="F279" i="10"/>
  <c r="B280" i="10"/>
  <c r="I279" i="10" l="1"/>
  <c r="J279" i="10"/>
  <c r="L279" i="10" s="1"/>
  <c r="K279" i="10"/>
  <c r="M279" i="10" s="1"/>
  <c r="G280" i="10"/>
  <c r="H280" i="10" s="1"/>
  <c r="D280" i="10"/>
  <c r="F280" i="10"/>
  <c r="B281" i="10"/>
  <c r="K280" i="10" l="1"/>
  <c r="M280" i="10" s="1"/>
  <c r="J280" i="10"/>
  <c r="L280" i="10" s="1"/>
  <c r="I280" i="10"/>
  <c r="D281" i="10"/>
  <c r="F281" i="10"/>
  <c r="G281" i="10"/>
  <c r="H281" i="10" s="1"/>
  <c r="B282" i="10"/>
  <c r="I281" i="10" l="1"/>
  <c r="J281" i="10"/>
  <c r="L281" i="10" s="1"/>
  <c r="K281" i="10"/>
  <c r="M281" i="10" s="1"/>
  <c r="F282" i="10"/>
  <c r="G282" i="10"/>
  <c r="H282" i="10" s="1"/>
  <c r="D282" i="10"/>
  <c r="B283" i="10"/>
  <c r="K282" i="10" l="1"/>
  <c r="M282" i="10" s="1"/>
  <c r="J282" i="10"/>
  <c r="L282" i="10" s="1"/>
  <c r="I282" i="10"/>
  <c r="G283" i="10"/>
  <c r="H283" i="10" s="1"/>
  <c r="F283" i="10"/>
  <c r="D283" i="10"/>
  <c r="B284" i="10"/>
  <c r="K283" i="10" l="1"/>
  <c r="M283" i="10" s="1"/>
  <c r="J283" i="10"/>
  <c r="L283" i="10" s="1"/>
  <c r="I283" i="10"/>
  <c r="F284" i="10"/>
  <c r="D284" i="10"/>
  <c r="G284" i="10"/>
  <c r="H284" i="10" s="1"/>
  <c r="B285" i="10"/>
  <c r="J284" i="10" l="1"/>
  <c r="L284" i="10" s="1"/>
  <c r="K284" i="10"/>
  <c r="M284" i="10" s="1"/>
  <c r="I284" i="10"/>
  <c r="F285" i="10"/>
  <c r="G285" i="10"/>
  <c r="H285" i="10" s="1"/>
  <c r="D285" i="10"/>
  <c r="B286" i="10"/>
  <c r="K285" i="10" l="1"/>
  <c r="M285" i="10" s="1"/>
  <c r="J285" i="10"/>
  <c r="L285" i="10" s="1"/>
  <c r="I285" i="10"/>
  <c r="D286" i="10"/>
  <c r="G286" i="10"/>
  <c r="H286" i="10" s="1"/>
  <c r="F286" i="10"/>
  <c r="B287" i="10"/>
  <c r="J286" i="10" l="1"/>
  <c r="L286" i="10" s="1"/>
  <c r="I286" i="10"/>
  <c r="K286" i="10"/>
  <c r="M286" i="10" s="1"/>
  <c r="G287" i="10"/>
  <c r="H287" i="10" s="1"/>
  <c r="F287" i="10"/>
  <c r="D287" i="10"/>
  <c r="B288" i="10"/>
  <c r="J287" i="10" l="1"/>
  <c r="L287" i="10" s="1"/>
  <c r="K287" i="10"/>
  <c r="M287" i="10" s="1"/>
  <c r="I287" i="10"/>
  <c r="D288" i="10"/>
  <c r="G288" i="10"/>
  <c r="H288" i="10" s="1"/>
  <c r="F288" i="10"/>
  <c r="B289" i="10"/>
  <c r="J288" i="10" l="1"/>
  <c r="L288" i="10" s="1"/>
  <c r="K288" i="10"/>
  <c r="M288" i="10" s="1"/>
  <c r="I288" i="10"/>
  <c r="D289" i="10"/>
  <c r="G289" i="10"/>
  <c r="H289" i="10" s="1"/>
  <c r="F289" i="10"/>
  <c r="B290" i="10"/>
  <c r="I289" i="10" l="1"/>
  <c r="K289" i="10"/>
  <c r="M289" i="10" s="1"/>
  <c r="J289" i="10"/>
  <c r="L289" i="10" s="1"/>
  <c r="G290" i="10"/>
  <c r="H290" i="10" s="1"/>
  <c r="D290" i="10"/>
  <c r="F290" i="10"/>
  <c r="B291" i="10"/>
  <c r="K290" i="10" l="1"/>
  <c r="M290" i="10" s="1"/>
  <c r="J290" i="10"/>
  <c r="L290" i="10" s="1"/>
  <c r="I290" i="10"/>
  <c r="D291" i="10"/>
  <c r="F291" i="10"/>
  <c r="G291" i="10"/>
  <c r="H291" i="10" s="1"/>
  <c r="B292" i="10"/>
  <c r="K291" i="10" l="1"/>
  <c r="M291" i="10" s="1"/>
  <c r="J291" i="10"/>
  <c r="L291" i="10" s="1"/>
  <c r="I291" i="10"/>
  <c r="F292" i="10"/>
  <c r="G292" i="10"/>
  <c r="H292" i="10" s="1"/>
  <c r="D292" i="10"/>
  <c r="B293" i="10"/>
  <c r="J292" i="10" l="1"/>
  <c r="L292" i="10" s="1"/>
  <c r="K292" i="10"/>
  <c r="M292" i="10" s="1"/>
  <c r="I292" i="10"/>
  <c r="F293" i="10"/>
  <c r="G293" i="10"/>
  <c r="H293" i="10" s="1"/>
  <c r="D293" i="10"/>
  <c r="B294" i="10"/>
  <c r="I293" i="10" l="1"/>
  <c r="J293" i="10"/>
  <c r="L293" i="10" s="1"/>
  <c r="K293" i="10"/>
  <c r="M293" i="10" s="1"/>
  <c r="G294" i="10"/>
  <c r="H294" i="10" s="1"/>
  <c r="F294" i="10"/>
  <c r="D294" i="10"/>
  <c r="B295" i="10"/>
  <c r="K294" i="10" l="1"/>
  <c r="M294" i="10" s="1"/>
  <c r="I294" i="10"/>
  <c r="J294" i="10"/>
  <c r="L294" i="10" s="1"/>
  <c r="G295" i="10"/>
  <c r="H295" i="10" s="1"/>
  <c r="D295" i="10"/>
  <c r="F295" i="10"/>
  <c r="B296" i="10"/>
  <c r="K295" i="10" l="1"/>
  <c r="M295" i="10" s="1"/>
  <c r="J295" i="10"/>
  <c r="L295" i="10" s="1"/>
  <c r="I295" i="10"/>
  <c r="G296" i="10"/>
  <c r="H296" i="10" s="1"/>
  <c r="D296" i="10"/>
  <c r="F296" i="10"/>
  <c r="B297" i="10"/>
  <c r="K296" i="10" l="1"/>
  <c r="M296" i="10" s="1"/>
  <c r="J296" i="10"/>
  <c r="L296" i="10" s="1"/>
  <c r="I296" i="10"/>
  <c r="D297" i="10"/>
  <c r="F297" i="10"/>
  <c r="G297" i="10"/>
  <c r="H297" i="10" s="1"/>
  <c r="B298" i="10"/>
  <c r="J297" i="10" l="1"/>
  <c r="L297" i="10" s="1"/>
  <c r="K297" i="10"/>
  <c r="M297" i="10" s="1"/>
  <c r="I297" i="10"/>
  <c r="G298" i="10"/>
  <c r="H298" i="10" s="1"/>
  <c r="B299" i="10"/>
  <c r="F298" i="10"/>
  <c r="D298" i="10"/>
  <c r="F299" i="10" l="1"/>
  <c r="G299" i="10"/>
  <c r="H299" i="10" s="1"/>
  <c r="D299" i="10"/>
  <c r="B300" i="10"/>
  <c r="J298" i="10"/>
  <c r="L298" i="10" s="1"/>
  <c r="I298" i="10"/>
  <c r="K298" i="10"/>
  <c r="M298" i="10" s="1"/>
  <c r="F300" i="10" l="1"/>
  <c r="D300" i="10"/>
  <c r="G300" i="10"/>
  <c r="H300" i="10" s="1"/>
  <c r="B301" i="10"/>
  <c r="K299" i="10"/>
  <c r="M299" i="10" s="1"/>
  <c r="I299" i="10"/>
  <c r="J299" i="10"/>
  <c r="L299" i="10" s="1"/>
  <c r="I300" i="10" l="1"/>
  <c r="J300" i="10"/>
  <c r="L300" i="10" s="1"/>
  <c r="K300" i="10"/>
  <c r="M300" i="10" s="1"/>
  <c r="D301" i="10"/>
  <c r="G301" i="10"/>
  <c r="H301" i="10" s="1"/>
  <c r="F301" i="10"/>
  <c r="B302" i="10"/>
  <c r="K301" i="10" l="1"/>
  <c r="M301" i="10" s="1"/>
  <c r="J301" i="10"/>
  <c r="L301" i="10" s="1"/>
  <c r="I301" i="10"/>
  <c r="D302" i="10"/>
  <c r="G302" i="10"/>
  <c r="H302" i="10" s="1"/>
  <c r="F302" i="10"/>
  <c r="B303" i="10"/>
  <c r="K302" i="10" l="1"/>
  <c r="M302" i="10" s="1"/>
  <c r="I302" i="10"/>
  <c r="J302" i="10"/>
  <c r="L302" i="10" s="1"/>
  <c r="G303" i="10"/>
  <c r="H303" i="10" s="1"/>
  <c r="F303" i="10"/>
  <c r="D303" i="10"/>
  <c r="B304" i="10"/>
  <c r="I303" i="10" l="1"/>
  <c r="K303" i="10"/>
  <c r="M303" i="10" s="1"/>
  <c r="J303" i="10"/>
  <c r="L303" i="10" s="1"/>
  <c r="F304" i="10"/>
  <c r="G304" i="10"/>
  <c r="H304" i="10" s="1"/>
  <c r="D304" i="10"/>
  <c r="B305" i="10"/>
  <c r="I304" i="10" l="1"/>
  <c r="K304" i="10"/>
  <c r="M304" i="10" s="1"/>
  <c r="J304" i="10"/>
  <c r="L304" i="10" s="1"/>
  <c r="G305" i="10"/>
  <c r="H305" i="10" s="1"/>
  <c r="F305" i="10"/>
  <c r="D305" i="10"/>
  <c r="B306" i="10"/>
  <c r="J305" i="10" l="1"/>
  <c r="L305" i="10" s="1"/>
  <c r="I305" i="10"/>
  <c r="K305" i="10"/>
  <c r="M305" i="10" s="1"/>
  <c r="G306" i="10"/>
  <c r="H306" i="10" s="1"/>
  <c r="F306" i="10"/>
  <c r="D306" i="10"/>
  <c r="B307" i="10"/>
  <c r="K306" i="10" l="1"/>
  <c r="M306" i="10" s="1"/>
  <c r="I306" i="10"/>
  <c r="J306" i="10"/>
  <c r="L306" i="10" s="1"/>
  <c r="D307" i="10"/>
  <c r="G307" i="10"/>
  <c r="H307" i="10" s="1"/>
  <c r="F307" i="10"/>
  <c r="B308" i="10"/>
  <c r="I307" i="10" l="1"/>
  <c r="J307" i="10"/>
  <c r="L307" i="10" s="1"/>
  <c r="K307" i="10"/>
  <c r="M307" i="10" s="1"/>
  <c r="G308" i="10"/>
  <c r="H308" i="10" s="1"/>
  <c r="D308" i="10"/>
  <c r="F308" i="10"/>
  <c r="B309" i="10"/>
  <c r="I308" i="10" l="1"/>
  <c r="K308" i="10"/>
  <c r="M308" i="10" s="1"/>
  <c r="J308" i="10"/>
  <c r="L308" i="10" s="1"/>
  <c r="G309" i="10"/>
  <c r="H309" i="10" s="1"/>
  <c r="F309" i="10"/>
  <c r="D309" i="10"/>
  <c r="B310" i="10"/>
  <c r="K309" i="10" l="1"/>
  <c r="M309" i="10" s="1"/>
  <c r="I309" i="10"/>
  <c r="J309" i="10"/>
  <c r="L309" i="10" s="1"/>
  <c r="F310" i="10"/>
  <c r="D310" i="10"/>
  <c r="G310" i="10"/>
  <c r="H310" i="10" s="1"/>
  <c r="B311" i="10"/>
  <c r="I310" i="10" l="1"/>
  <c r="K310" i="10"/>
  <c r="M310" i="10" s="1"/>
  <c r="J310" i="10"/>
  <c r="L310" i="10" s="1"/>
  <c r="F311" i="10"/>
  <c r="G311" i="10"/>
  <c r="H311" i="10" s="1"/>
  <c r="D311" i="10"/>
  <c r="B312" i="10"/>
  <c r="J311" i="10" l="1"/>
  <c r="L311" i="10" s="1"/>
  <c r="K311" i="10"/>
  <c r="M311" i="10" s="1"/>
  <c r="I311" i="10"/>
  <c r="D312" i="10"/>
  <c r="G312" i="10"/>
  <c r="H312" i="10" s="1"/>
  <c r="F312" i="10"/>
  <c r="B313" i="10"/>
  <c r="I312" i="10" l="1"/>
  <c r="J312" i="10"/>
  <c r="L312" i="10" s="1"/>
  <c r="K312" i="10"/>
  <c r="M312" i="10" s="1"/>
  <c r="G313" i="10"/>
  <c r="H313" i="10" s="1"/>
  <c r="D313" i="10"/>
  <c r="F313" i="10"/>
  <c r="B314" i="10"/>
  <c r="I313" i="10" l="1"/>
  <c r="J313" i="10"/>
  <c r="L313" i="10" s="1"/>
  <c r="K313" i="10"/>
  <c r="M313" i="10" s="1"/>
  <c r="D314" i="10"/>
  <c r="F314" i="10"/>
  <c r="G314" i="10"/>
  <c r="H314" i="10" s="1"/>
  <c r="B315" i="10"/>
  <c r="K314" i="10" l="1"/>
  <c r="M314" i="10" s="1"/>
  <c r="J314" i="10"/>
  <c r="L314" i="10" s="1"/>
  <c r="I314" i="10"/>
  <c r="G315" i="10"/>
  <c r="H315" i="10" s="1"/>
  <c r="D315" i="10"/>
  <c r="F315" i="10"/>
  <c r="B316" i="10"/>
  <c r="J315" i="10" l="1"/>
  <c r="L315" i="10" s="1"/>
  <c r="I315" i="10"/>
  <c r="K315" i="10"/>
  <c r="M315" i="10" s="1"/>
  <c r="G316" i="10"/>
  <c r="H316" i="10" s="1"/>
  <c r="F316" i="10"/>
  <c r="D316" i="10"/>
  <c r="B317" i="10"/>
  <c r="I316" i="10" l="1"/>
  <c r="K316" i="10"/>
  <c r="M316" i="10" s="1"/>
  <c r="J316" i="10"/>
  <c r="L316" i="10" s="1"/>
  <c r="D317" i="10"/>
  <c r="F317" i="10"/>
  <c r="G317" i="10"/>
  <c r="H317" i="10" s="1"/>
  <c r="B318" i="10"/>
  <c r="J317" i="10" l="1"/>
  <c r="L317" i="10" s="1"/>
  <c r="I317" i="10"/>
  <c r="K317" i="10"/>
  <c r="M317" i="10" s="1"/>
  <c r="G318" i="10"/>
  <c r="H318" i="10" s="1"/>
  <c r="F318" i="10"/>
  <c r="D318" i="10"/>
  <c r="B319" i="10"/>
  <c r="J318" i="10" l="1"/>
  <c r="L318" i="10" s="1"/>
  <c r="I318" i="10"/>
  <c r="K318" i="10"/>
  <c r="M318" i="10" s="1"/>
  <c r="D319" i="10"/>
  <c r="F319" i="10"/>
  <c r="G319" i="10"/>
  <c r="H319" i="10" s="1"/>
  <c r="B320" i="10"/>
  <c r="K319" i="10" l="1"/>
  <c r="M319" i="10" s="1"/>
  <c r="I319" i="10"/>
  <c r="J319" i="10"/>
  <c r="L319" i="10" s="1"/>
  <c r="D320" i="10"/>
  <c r="F320" i="10"/>
  <c r="G320" i="10"/>
  <c r="H320" i="10" s="1"/>
  <c r="B321" i="10"/>
  <c r="K320" i="10" l="1"/>
  <c r="M320" i="10" s="1"/>
  <c r="J320" i="10"/>
  <c r="L320" i="10" s="1"/>
  <c r="I320" i="10"/>
  <c r="F321" i="10"/>
  <c r="G321" i="10"/>
  <c r="H321" i="10" s="1"/>
  <c r="D321" i="10"/>
  <c r="B322" i="10"/>
  <c r="I321" i="10" l="1"/>
  <c r="J321" i="10"/>
  <c r="L321" i="10" s="1"/>
  <c r="K321" i="10"/>
  <c r="M321" i="10" s="1"/>
  <c r="F322" i="10"/>
  <c r="G322" i="10"/>
  <c r="H322" i="10" s="1"/>
  <c r="D322" i="10"/>
  <c r="B323" i="10"/>
  <c r="J322" i="10" l="1"/>
  <c r="L322" i="10" s="1"/>
  <c r="K322" i="10"/>
  <c r="M322" i="10" s="1"/>
  <c r="I322" i="10"/>
  <c r="F323" i="10"/>
  <c r="D323" i="10"/>
  <c r="G323" i="10"/>
  <c r="H323" i="10" s="1"/>
  <c r="B324" i="10"/>
  <c r="G324" i="10" l="1"/>
  <c r="H324" i="10" s="1"/>
  <c r="D324" i="10"/>
  <c r="F324" i="10"/>
  <c r="B325" i="10"/>
  <c r="I323" i="10"/>
  <c r="K323" i="10"/>
  <c r="M323" i="10" s="1"/>
  <c r="J323" i="10"/>
  <c r="L323" i="10" s="1"/>
  <c r="K324" i="10" l="1"/>
  <c r="M324" i="10" s="1"/>
  <c r="I324" i="10"/>
  <c r="J324" i="10"/>
  <c r="L324" i="10" s="1"/>
  <c r="G325" i="10"/>
  <c r="H325" i="10" s="1"/>
  <c r="F325" i="10"/>
  <c r="D325" i="10"/>
  <c r="B326" i="10"/>
  <c r="K325" i="10" l="1"/>
  <c r="M325" i="10" s="1"/>
  <c r="J325" i="10"/>
  <c r="L325" i="10" s="1"/>
  <c r="I325" i="10"/>
  <c r="F326" i="10"/>
  <c r="G326" i="10"/>
  <c r="H326" i="10" s="1"/>
  <c r="D326" i="10"/>
  <c r="B327" i="10"/>
  <c r="K326" i="10" l="1"/>
  <c r="M326" i="10" s="1"/>
  <c r="J326" i="10"/>
  <c r="L326" i="10" s="1"/>
  <c r="I326" i="10"/>
  <c r="G327" i="10"/>
  <c r="H327" i="10" s="1"/>
  <c r="D327" i="10"/>
  <c r="F327" i="10"/>
  <c r="B328" i="10"/>
  <c r="K327" i="10" l="1"/>
  <c r="M327" i="10" s="1"/>
  <c r="I327" i="10"/>
  <c r="J327" i="10"/>
  <c r="L327" i="10" s="1"/>
  <c r="F328" i="10"/>
  <c r="D328" i="10"/>
  <c r="G328" i="10"/>
  <c r="H328" i="10" s="1"/>
  <c r="B329" i="10"/>
  <c r="J328" i="10" l="1"/>
  <c r="L328" i="10" s="1"/>
  <c r="K328" i="10"/>
  <c r="M328" i="10" s="1"/>
  <c r="I328" i="10"/>
  <c r="G329" i="10"/>
  <c r="H329" i="10" s="1"/>
  <c r="F329" i="10"/>
  <c r="D329" i="10"/>
  <c r="B330" i="10"/>
  <c r="J329" i="10" l="1"/>
  <c r="L329" i="10" s="1"/>
  <c r="I329" i="10"/>
  <c r="K329" i="10"/>
  <c r="M329" i="10" s="1"/>
  <c r="F330" i="10"/>
  <c r="G330" i="10"/>
  <c r="H330" i="10" s="1"/>
  <c r="D330" i="10"/>
  <c r="B331" i="10"/>
  <c r="J330" i="10" l="1"/>
  <c r="L330" i="10" s="1"/>
  <c r="K330" i="10"/>
  <c r="M330" i="10" s="1"/>
  <c r="I330" i="10"/>
  <c r="D331" i="10"/>
  <c r="F331" i="10"/>
  <c r="G331" i="10"/>
  <c r="H331" i="10" s="1"/>
  <c r="B332" i="10"/>
  <c r="J331" i="10" l="1"/>
  <c r="L331" i="10" s="1"/>
  <c r="K331" i="10"/>
  <c r="M331" i="10" s="1"/>
  <c r="I331" i="10"/>
  <c r="G332" i="10"/>
  <c r="H332" i="10" s="1"/>
  <c r="F332" i="10"/>
  <c r="D332" i="10"/>
  <c r="B333" i="10"/>
  <c r="I332" i="10" l="1"/>
  <c r="K332" i="10"/>
  <c r="M332" i="10" s="1"/>
  <c r="J332" i="10"/>
  <c r="L332" i="10" s="1"/>
  <c r="F333" i="10"/>
  <c r="D333" i="10"/>
  <c r="G333" i="10"/>
  <c r="H333" i="10" s="1"/>
  <c r="B334" i="10"/>
  <c r="J333" i="10" l="1"/>
  <c r="L333" i="10" s="1"/>
  <c r="I333" i="10"/>
  <c r="K333" i="10"/>
  <c r="M333" i="10" s="1"/>
  <c r="D334" i="10"/>
  <c r="G334" i="10"/>
  <c r="H334" i="10" s="1"/>
  <c r="F334" i="10"/>
  <c r="B335" i="10"/>
  <c r="K334" i="10" l="1"/>
  <c r="M334" i="10" s="1"/>
  <c r="I334" i="10"/>
  <c r="J334" i="10"/>
  <c r="L334" i="10" s="1"/>
  <c r="D335" i="10"/>
  <c r="F335" i="10"/>
  <c r="G335" i="10"/>
  <c r="H335" i="10" s="1"/>
  <c r="B336" i="10"/>
  <c r="K335" i="10" l="1"/>
  <c r="M335" i="10" s="1"/>
  <c r="I335" i="10"/>
  <c r="J335" i="10"/>
  <c r="L335" i="10" s="1"/>
  <c r="G336" i="10"/>
  <c r="H336" i="10" s="1"/>
  <c r="D336" i="10"/>
  <c r="F336" i="10"/>
  <c r="B337" i="10"/>
  <c r="K336" i="10" l="1"/>
  <c r="M336" i="10" s="1"/>
  <c r="J336" i="10"/>
  <c r="L336" i="10" s="1"/>
  <c r="I336" i="10"/>
  <c r="G337" i="10"/>
  <c r="H337" i="10" s="1"/>
  <c r="F337" i="10"/>
  <c r="D337" i="10"/>
  <c r="B338" i="10"/>
  <c r="I337" i="10" l="1"/>
  <c r="K337" i="10"/>
  <c r="M337" i="10" s="1"/>
  <c r="J337" i="10"/>
  <c r="L337" i="10" s="1"/>
  <c r="G338" i="10"/>
  <c r="H338" i="10" s="1"/>
  <c r="D338" i="10"/>
  <c r="F338" i="10"/>
  <c r="B339" i="10"/>
  <c r="K338" i="10" l="1"/>
  <c r="M338" i="10" s="1"/>
  <c r="J338" i="10"/>
  <c r="L338" i="10" s="1"/>
  <c r="I338" i="10"/>
  <c r="F339" i="10"/>
  <c r="G339" i="10"/>
  <c r="H339" i="10" s="1"/>
  <c r="D339" i="10"/>
  <c r="B340" i="10"/>
  <c r="I339" i="10" l="1"/>
  <c r="K339" i="10"/>
  <c r="M339" i="10" s="1"/>
  <c r="J339" i="10"/>
  <c r="L339" i="10" s="1"/>
  <c r="G340" i="10"/>
  <c r="H340" i="10" s="1"/>
  <c r="D340" i="10"/>
  <c r="F340" i="10"/>
  <c r="B341" i="10"/>
  <c r="I340" i="10" l="1"/>
  <c r="K340" i="10"/>
  <c r="M340" i="10" s="1"/>
  <c r="J340" i="10"/>
  <c r="L340" i="10" s="1"/>
  <c r="G341" i="10"/>
  <c r="H341" i="10" s="1"/>
  <c r="F341" i="10"/>
  <c r="D341" i="10"/>
  <c r="B342" i="10"/>
  <c r="J341" i="10" l="1"/>
  <c r="L341" i="10" s="1"/>
  <c r="K341" i="10"/>
  <c r="M341" i="10" s="1"/>
  <c r="I341" i="10"/>
  <c r="G342" i="10"/>
  <c r="H342" i="10" s="1"/>
  <c r="F342" i="10"/>
  <c r="D342" i="10"/>
  <c r="B343" i="10"/>
  <c r="J342" i="10" l="1"/>
  <c r="L342" i="10" s="1"/>
  <c r="K342" i="10"/>
  <c r="M342" i="10" s="1"/>
  <c r="I342" i="10"/>
  <c r="F343" i="10"/>
  <c r="D343" i="10"/>
  <c r="G343" i="10"/>
  <c r="H343" i="10" s="1"/>
  <c r="B344" i="10"/>
  <c r="K343" i="10" l="1"/>
  <c r="M343" i="10" s="1"/>
  <c r="I343" i="10"/>
  <c r="J343" i="10"/>
  <c r="L343" i="10" s="1"/>
  <c r="F344" i="10"/>
  <c r="D344" i="10"/>
  <c r="G344" i="10"/>
  <c r="H344" i="10" s="1"/>
  <c r="B345" i="10"/>
  <c r="I344" i="10" l="1"/>
  <c r="K344" i="10"/>
  <c r="M344" i="10" s="1"/>
  <c r="J344" i="10"/>
  <c r="L344" i="10" s="1"/>
  <c r="F345" i="10"/>
  <c r="D345" i="10"/>
  <c r="G345" i="10"/>
  <c r="H345" i="10" s="1"/>
  <c r="B346" i="10"/>
  <c r="D346" i="10" l="1"/>
  <c r="F346" i="10"/>
  <c r="G346" i="10"/>
  <c r="H346" i="10" s="1"/>
  <c r="B347" i="10"/>
  <c r="K345" i="10"/>
  <c r="M345" i="10" s="1"/>
  <c r="I345" i="10"/>
  <c r="J345" i="10"/>
  <c r="L345" i="10" s="1"/>
  <c r="D347" i="10" l="1"/>
  <c r="F347" i="10"/>
  <c r="G347" i="10"/>
  <c r="H347" i="10" s="1"/>
  <c r="B348" i="10"/>
  <c r="I346" i="10"/>
  <c r="J346" i="10"/>
  <c r="L346" i="10" s="1"/>
  <c r="K346" i="10"/>
  <c r="M346" i="10" s="1"/>
  <c r="K347" i="10" l="1"/>
  <c r="M347" i="10" s="1"/>
  <c r="J347" i="10"/>
  <c r="L347" i="10" s="1"/>
  <c r="I347" i="10"/>
  <c r="F348" i="10"/>
  <c r="D348" i="10"/>
  <c r="G348" i="10"/>
  <c r="H348" i="10" s="1"/>
  <c r="B349" i="10"/>
  <c r="I348" i="10" l="1"/>
  <c r="K348" i="10"/>
  <c r="M348" i="10" s="1"/>
  <c r="J348" i="10"/>
  <c r="L348" i="10" s="1"/>
  <c r="F349" i="10"/>
  <c r="D349" i="10"/>
  <c r="G349" i="10"/>
  <c r="H349" i="10" s="1"/>
  <c r="B350" i="10"/>
  <c r="I349" i="10" l="1"/>
  <c r="K349" i="10"/>
  <c r="M349" i="10" s="1"/>
  <c r="J349" i="10"/>
  <c r="L349" i="10" s="1"/>
  <c r="D350" i="10"/>
  <c r="F350" i="10"/>
  <c r="G350" i="10"/>
  <c r="H350" i="10" s="1"/>
  <c r="B351" i="10"/>
  <c r="I350" i="10" l="1"/>
  <c r="K350" i="10"/>
  <c r="M350" i="10" s="1"/>
  <c r="J350" i="10"/>
  <c r="L350" i="10" s="1"/>
  <c r="D351" i="10"/>
  <c r="G351" i="10"/>
  <c r="H351" i="10" s="1"/>
  <c r="F351" i="10"/>
  <c r="B352" i="10"/>
  <c r="J351" i="10" l="1"/>
  <c r="L351" i="10" s="1"/>
  <c r="K351" i="10"/>
  <c r="M351" i="10" s="1"/>
  <c r="I351" i="10"/>
  <c r="F352" i="10"/>
  <c r="G352" i="10"/>
  <c r="H352" i="10" s="1"/>
  <c r="D352" i="10"/>
  <c r="B353" i="10"/>
  <c r="J352" i="10" l="1"/>
  <c r="I352" i="10"/>
  <c r="K352" i="10"/>
  <c r="M352" i="10" s="1"/>
  <c r="L352" i="10"/>
  <c r="G353" i="10"/>
  <c r="H353" i="10" s="1"/>
  <c r="D353" i="10"/>
  <c r="F353" i="10"/>
  <c r="B354" i="10"/>
  <c r="I353" i="10" l="1"/>
  <c r="K353" i="10"/>
  <c r="M353" i="10" s="1"/>
  <c r="J353" i="10"/>
  <c r="L353" i="10" s="1"/>
  <c r="G354" i="10"/>
  <c r="H354" i="10" s="1"/>
  <c r="D354" i="10"/>
  <c r="F354" i="10"/>
  <c r="B355" i="10"/>
  <c r="K354" i="10" l="1"/>
  <c r="M354" i="10" s="1"/>
  <c r="J354" i="10"/>
  <c r="L354" i="10" s="1"/>
  <c r="I354" i="10"/>
  <c r="G355" i="10"/>
  <c r="H355" i="10" s="1"/>
  <c r="F355" i="10"/>
  <c r="D355" i="10"/>
  <c r="B356" i="10"/>
  <c r="K355" i="10" l="1"/>
  <c r="M355" i="10" s="1"/>
  <c r="I355" i="10"/>
  <c r="J355" i="10"/>
  <c r="L355" i="10" s="1"/>
  <c r="G356" i="10"/>
  <c r="H356" i="10" s="1"/>
  <c r="D356" i="10"/>
  <c r="F356" i="10"/>
  <c r="B357" i="10"/>
  <c r="K356" i="10" l="1"/>
  <c r="M356" i="10" s="1"/>
  <c r="I356" i="10"/>
  <c r="J356" i="10"/>
  <c r="L356" i="10" s="1"/>
  <c r="F357" i="10"/>
  <c r="G357" i="10"/>
  <c r="H357" i="10" s="1"/>
  <c r="D357" i="10"/>
  <c r="B358" i="10"/>
  <c r="I357" i="10" l="1"/>
  <c r="J357" i="10"/>
  <c r="L357" i="10" s="1"/>
  <c r="K357" i="10"/>
  <c r="M357" i="10" s="1"/>
  <c r="D358" i="10"/>
  <c r="F358" i="10"/>
  <c r="G358" i="10"/>
  <c r="H358" i="10" s="1"/>
  <c r="B359" i="10"/>
  <c r="K358" i="10" l="1"/>
  <c r="M358" i="10" s="1"/>
  <c r="J358" i="10"/>
  <c r="L358" i="10" s="1"/>
  <c r="I358" i="10"/>
  <c r="G359" i="10"/>
  <c r="H359" i="10" s="1"/>
  <c r="F359" i="10"/>
  <c r="D359" i="10"/>
  <c r="B360" i="10"/>
  <c r="I359" i="10" l="1"/>
  <c r="J359" i="10"/>
  <c r="L359" i="10" s="1"/>
  <c r="K359" i="10"/>
  <c r="M359" i="10" s="1"/>
  <c r="D360" i="10"/>
  <c r="G360" i="10"/>
  <c r="H360" i="10" s="1"/>
  <c r="F360" i="10"/>
  <c r="B361" i="10"/>
  <c r="J360" i="10" l="1"/>
  <c r="L360" i="10" s="1"/>
  <c r="K360" i="10"/>
  <c r="M360" i="10" s="1"/>
  <c r="I360" i="10"/>
  <c r="G361" i="10"/>
  <c r="H361" i="10" s="1"/>
  <c r="F361" i="10"/>
  <c r="D361" i="10"/>
  <c r="B362" i="10"/>
  <c r="K361" i="10" l="1"/>
  <c r="M361" i="10" s="1"/>
  <c r="J361" i="10"/>
  <c r="L361" i="10" s="1"/>
  <c r="I361" i="10"/>
  <c r="G362" i="10"/>
  <c r="H362" i="10" s="1"/>
  <c r="D362" i="10"/>
  <c r="F362" i="10"/>
  <c r="B363" i="10"/>
  <c r="I362" i="10" l="1"/>
  <c r="J362" i="10"/>
  <c r="L362" i="10" s="1"/>
  <c r="K362" i="10"/>
  <c r="M362" i="10" s="1"/>
  <c r="F363" i="10"/>
  <c r="G363" i="10"/>
  <c r="H363" i="10" s="1"/>
  <c r="D363" i="10"/>
  <c r="B364" i="10"/>
  <c r="K363" i="10" l="1"/>
  <c r="M363" i="10" s="1"/>
  <c r="J363" i="10"/>
  <c r="L363" i="10" s="1"/>
  <c r="I363" i="10"/>
  <c r="D364" i="10"/>
  <c r="F364" i="10"/>
  <c r="G364" i="10"/>
  <c r="H364" i="10" s="1"/>
  <c r="B365" i="10"/>
  <c r="K364" i="10" l="1"/>
  <c r="M364" i="10" s="1"/>
  <c r="I364" i="10"/>
  <c r="J364" i="10"/>
  <c r="L364" i="10" s="1"/>
  <c r="D365" i="10"/>
  <c r="G365" i="10"/>
  <c r="H365" i="10" s="1"/>
  <c r="F365" i="10"/>
  <c r="B366" i="10"/>
  <c r="J365" i="10" l="1"/>
  <c r="L365" i="10" s="1"/>
  <c r="I365" i="10"/>
  <c r="K365" i="10"/>
  <c r="M365" i="10" s="1"/>
  <c r="D366" i="10"/>
  <c r="G366" i="10"/>
  <c r="H366" i="10" s="1"/>
  <c r="F366" i="10"/>
  <c r="B367" i="10"/>
  <c r="K366" i="10" l="1"/>
  <c r="M366" i="10" s="1"/>
  <c r="J366" i="10"/>
  <c r="L366" i="10" s="1"/>
  <c r="I366" i="10"/>
  <c r="F367" i="10"/>
  <c r="G367" i="10"/>
  <c r="H367" i="10" s="1"/>
  <c r="D367" i="10"/>
  <c r="B368" i="10"/>
  <c r="I367" i="10" l="1"/>
  <c r="J367" i="10"/>
  <c r="L367" i="10" s="1"/>
  <c r="K367" i="10"/>
  <c r="M367" i="10" s="1"/>
  <c r="G368" i="10"/>
  <c r="H368" i="10" s="1"/>
  <c r="D368" i="10"/>
  <c r="F368" i="10"/>
  <c r="B369" i="10"/>
  <c r="J368" i="10" l="1"/>
  <c r="L368" i="10" s="1"/>
  <c r="K368" i="10"/>
  <c r="M368" i="10" s="1"/>
  <c r="I368" i="10"/>
  <c r="F369" i="10"/>
  <c r="D369" i="10"/>
  <c r="G369" i="10"/>
  <c r="H369" i="10" s="1"/>
  <c r="B370" i="10"/>
  <c r="I369" i="10" l="1"/>
  <c r="J369" i="10"/>
  <c r="L369" i="10" s="1"/>
  <c r="K369" i="10"/>
  <c r="M369" i="10" s="1"/>
  <c r="G370" i="10"/>
  <c r="H370" i="10" s="1"/>
  <c r="F370" i="10"/>
  <c r="D370" i="10"/>
  <c r="B371" i="10"/>
  <c r="J370" i="10" l="1"/>
  <c r="L370" i="10" s="1"/>
  <c r="I370" i="10"/>
  <c r="K370" i="10"/>
  <c r="M370" i="10" s="1"/>
  <c r="G371" i="10"/>
  <c r="H371" i="10" s="1"/>
  <c r="D371" i="10"/>
  <c r="F371" i="10"/>
  <c r="B372" i="10"/>
  <c r="J371" i="10" l="1"/>
  <c r="L371" i="10" s="1"/>
  <c r="K371" i="10"/>
  <c r="M371" i="10" s="1"/>
  <c r="I371" i="10"/>
  <c r="G372" i="10"/>
  <c r="H372" i="10" s="1"/>
  <c r="F372" i="10"/>
  <c r="D372" i="10"/>
  <c r="B373" i="10"/>
  <c r="J372" i="10" l="1"/>
  <c r="L372" i="10" s="1"/>
  <c r="K372" i="10"/>
  <c r="M372" i="10" s="1"/>
  <c r="I372" i="10"/>
  <c r="G373" i="10"/>
  <c r="H373" i="10" s="1"/>
  <c r="D373" i="10"/>
  <c r="F373" i="10"/>
  <c r="B374" i="10"/>
  <c r="K373" i="10" l="1"/>
  <c r="M373" i="10" s="1"/>
  <c r="I373" i="10"/>
  <c r="J373" i="10"/>
  <c r="L373" i="10" s="1"/>
  <c r="D374" i="10"/>
  <c r="G374" i="10"/>
  <c r="H374" i="10" s="1"/>
  <c r="F374" i="10"/>
  <c r="B375" i="10"/>
  <c r="J374" i="10" l="1"/>
  <c r="L374" i="10" s="1"/>
  <c r="K374" i="10"/>
  <c r="M374" i="10" s="1"/>
  <c r="I374" i="10"/>
  <c r="F375" i="10"/>
  <c r="D375" i="10"/>
  <c r="G375" i="10"/>
  <c r="H375" i="10" s="1"/>
  <c r="B376" i="10"/>
  <c r="J375" i="10" l="1"/>
  <c r="L375" i="10" s="1"/>
  <c r="I375" i="10"/>
  <c r="K375" i="10"/>
  <c r="M375" i="10" s="1"/>
  <c r="D376" i="10"/>
  <c r="G376" i="10"/>
  <c r="H376" i="10" s="1"/>
  <c r="F376" i="10"/>
  <c r="B377" i="10"/>
  <c r="K376" i="10" l="1"/>
  <c r="M376" i="10" s="1"/>
  <c r="I376" i="10"/>
  <c r="J376" i="10"/>
  <c r="L376" i="10" s="1"/>
  <c r="F377" i="10"/>
  <c r="B378" i="10"/>
  <c r="D377" i="10"/>
  <c r="G377" i="10"/>
  <c r="H377" i="10" s="1"/>
  <c r="I377" i="10" l="1"/>
  <c r="J377" i="10"/>
  <c r="L377" i="10" s="1"/>
  <c r="K377" i="10"/>
  <c r="M377" i="10" s="1"/>
  <c r="D378" i="10"/>
  <c r="B379" i="10"/>
  <c r="G378" i="10"/>
  <c r="H378" i="10" s="1"/>
  <c r="F378" i="10"/>
  <c r="K378" i="10" l="1"/>
  <c r="M378" i="10" s="1"/>
  <c r="I378" i="10"/>
  <c r="J378" i="10"/>
  <c r="L378" i="10" s="1"/>
  <c r="G379" i="10"/>
  <c r="H379" i="10" s="1"/>
  <c r="B380" i="10"/>
  <c r="F379" i="10"/>
  <c r="D379" i="10"/>
  <c r="J379" i="10" l="1"/>
  <c r="L379" i="10" s="1"/>
  <c r="I379" i="10"/>
  <c r="K379" i="10"/>
  <c r="M379" i="10" s="1"/>
  <c r="D380" i="10"/>
  <c r="B381" i="10"/>
  <c r="G380" i="10"/>
  <c r="H380" i="10" s="1"/>
  <c r="F380" i="10"/>
  <c r="K380" i="10" l="1"/>
  <c r="M380" i="10" s="1"/>
  <c r="J380" i="10"/>
  <c r="L380" i="10" s="1"/>
  <c r="I380" i="10"/>
  <c r="F381" i="10"/>
  <c r="B382" i="10"/>
  <c r="D381" i="10"/>
  <c r="G381" i="10"/>
  <c r="H381" i="10" s="1"/>
  <c r="K381" i="10" l="1"/>
  <c r="M381" i="10" s="1"/>
  <c r="J381" i="10"/>
  <c r="L381" i="10" s="1"/>
  <c r="I381" i="10"/>
  <c r="F382" i="10"/>
  <c r="B383" i="10"/>
  <c r="G382" i="10"/>
  <c r="H382" i="10" s="1"/>
  <c r="D382" i="10"/>
  <c r="K382" i="10" l="1"/>
  <c r="M382" i="10" s="1"/>
  <c r="J382" i="10"/>
  <c r="L382" i="10" s="1"/>
  <c r="I382" i="10"/>
  <c r="G383" i="10"/>
  <c r="H383" i="10" s="1"/>
  <c r="B384" i="10"/>
  <c r="D383" i="10"/>
  <c r="F383" i="10"/>
  <c r="K383" i="10" l="1"/>
  <c r="M383" i="10" s="1"/>
  <c r="J383" i="10"/>
  <c r="L383" i="10" s="1"/>
  <c r="I383" i="10"/>
  <c r="F384" i="10"/>
  <c r="B385" i="10"/>
  <c r="D384" i="10"/>
  <c r="G384" i="10"/>
  <c r="H384" i="10" s="1"/>
  <c r="J384" i="10" l="1"/>
  <c r="L384" i="10" s="1"/>
  <c r="I384" i="10"/>
  <c r="K384" i="10"/>
  <c r="M384" i="10" s="1"/>
  <c r="G385" i="10"/>
  <c r="H385" i="10" s="1"/>
  <c r="B386" i="10"/>
  <c r="F385" i="10"/>
  <c r="D385" i="10"/>
  <c r="K385" i="10" l="1"/>
  <c r="M385" i="10" s="1"/>
  <c r="J385" i="10"/>
  <c r="L385" i="10" s="1"/>
  <c r="I385" i="10"/>
  <c r="F386" i="10"/>
  <c r="B387" i="10"/>
  <c r="D386" i="10"/>
  <c r="G386" i="10"/>
  <c r="H386" i="10" s="1"/>
  <c r="K386" i="10" l="1"/>
  <c r="M386" i="10" s="1"/>
  <c r="I386" i="10"/>
  <c r="J386" i="10"/>
  <c r="L386" i="10" s="1"/>
  <c r="D387" i="10"/>
  <c r="B388" i="10"/>
  <c r="G387" i="10"/>
  <c r="H387" i="10" s="1"/>
  <c r="F387" i="10"/>
  <c r="K387" i="10" l="1"/>
  <c r="M387" i="10" s="1"/>
  <c r="J387" i="10"/>
  <c r="L387" i="10" s="1"/>
  <c r="I387" i="10"/>
  <c r="D388" i="10"/>
  <c r="B389" i="10"/>
  <c r="F388" i="10"/>
  <c r="G388" i="10"/>
  <c r="H388" i="10" s="1"/>
  <c r="K388" i="10" l="1"/>
  <c r="M388" i="10" s="1"/>
  <c r="J388" i="10"/>
  <c r="L388" i="10" s="1"/>
  <c r="I388" i="10"/>
  <c r="D389" i="10"/>
  <c r="B390" i="10"/>
  <c r="F389" i="10"/>
  <c r="G389" i="10"/>
  <c r="H389" i="10" s="1"/>
  <c r="K389" i="10" l="1"/>
  <c r="M389" i="10" s="1"/>
  <c r="J389" i="10"/>
  <c r="L389" i="10" s="1"/>
  <c r="I389" i="10"/>
  <c r="F390" i="10"/>
  <c r="B391" i="10"/>
  <c r="D390" i="10"/>
  <c r="G390" i="10"/>
  <c r="H390" i="10" s="1"/>
  <c r="J390" i="10" l="1"/>
  <c r="L390" i="10" s="1"/>
  <c r="K390" i="10"/>
  <c r="M390" i="10" s="1"/>
  <c r="I390" i="10"/>
  <c r="G391" i="10"/>
  <c r="H391" i="10" s="1"/>
  <c r="B392" i="10"/>
  <c r="F391" i="10"/>
  <c r="D391" i="10"/>
  <c r="F392" i="10" l="1"/>
  <c r="B393" i="10"/>
  <c r="D392" i="10"/>
  <c r="G392" i="10"/>
  <c r="H392" i="10" s="1"/>
  <c r="I391" i="10"/>
  <c r="J391" i="10"/>
  <c r="L391" i="10" s="1"/>
  <c r="K391" i="10"/>
  <c r="M391" i="10" s="1"/>
  <c r="K392" i="10" l="1"/>
  <c r="M392" i="10" s="1"/>
  <c r="I392" i="10"/>
  <c r="J392" i="10"/>
  <c r="L392" i="10" s="1"/>
  <c r="G393" i="10"/>
  <c r="H393" i="10" s="1"/>
  <c r="B394" i="10"/>
  <c r="F393" i="10"/>
  <c r="D393" i="10"/>
  <c r="K393" i="10" l="1"/>
  <c r="M393" i="10" s="1"/>
  <c r="I393" i="10"/>
  <c r="J393" i="10"/>
  <c r="L393" i="10" s="1"/>
  <c r="G394" i="10"/>
  <c r="H394" i="10" s="1"/>
  <c r="B395" i="10"/>
  <c r="F394" i="10"/>
  <c r="D394" i="10"/>
  <c r="K394" i="10" l="1"/>
  <c r="M394" i="10" s="1"/>
  <c r="J394" i="10"/>
  <c r="L394" i="10" s="1"/>
  <c r="I394" i="10"/>
  <c r="D395" i="10"/>
  <c r="B396" i="10"/>
  <c r="F395" i="10"/>
  <c r="G395" i="10"/>
  <c r="H395" i="10" s="1"/>
  <c r="J395" i="10" l="1"/>
  <c r="L395" i="10" s="1"/>
  <c r="K395" i="10"/>
  <c r="M395" i="10" s="1"/>
  <c r="I395" i="10"/>
  <c r="G396" i="10"/>
  <c r="H396" i="10" s="1"/>
  <c r="B397" i="10"/>
  <c r="F396" i="10"/>
  <c r="D396" i="10"/>
  <c r="J396" i="10" l="1"/>
  <c r="L396" i="10" s="1"/>
  <c r="I396" i="10"/>
  <c r="K396" i="10"/>
  <c r="M396" i="10" s="1"/>
  <c r="D397" i="10"/>
  <c r="B398" i="10"/>
  <c r="F397" i="10"/>
  <c r="G397" i="10"/>
  <c r="H397" i="10" s="1"/>
  <c r="K397" i="10" l="1"/>
  <c r="M397" i="10" s="1"/>
  <c r="I397" i="10"/>
  <c r="J397" i="10"/>
  <c r="L397" i="10" s="1"/>
  <c r="G398" i="10"/>
  <c r="H398" i="10" s="1"/>
  <c r="B399" i="10"/>
  <c r="D398" i="10"/>
  <c r="F398" i="10"/>
  <c r="K398" i="10" l="1"/>
  <c r="M398" i="10" s="1"/>
  <c r="J398" i="10"/>
  <c r="L398" i="10" s="1"/>
  <c r="I398" i="10"/>
  <c r="G399" i="10"/>
  <c r="H399" i="10" s="1"/>
  <c r="B400" i="10"/>
  <c r="D399" i="10"/>
  <c r="F399" i="10"/>
  <c r="K399" i="10" l="1"/>
  <c r="M399" i="10" s="1"/>
  <c r="I399" i="10"/>
  <c r="J399" i="10"/>
  <c r="L399" i="10" s="1"/>
  <c r="D400" i="10"/>
  <c r="B401" i="10"/>
  <c r="G400" i="10"/>
  <c r="H400" i="10" s="1"/>
  <c r="F400" i="10"/>
  <c r="K400" i="10" l="1"/>
  <c r="M400" i="10" s="1"/>
  <c r="J400" i="10"/>
  <c r="L400" i="10" s="1"/>
  <c r="I400" i="10"/>
  <c r="D401" i="10"/>
  <c r="B402" i="10"/>
  <c r="G401" i="10"/>
  <c r="H401" i="10" s="1"/>
  <c r="F401" i="10"/>
  <c r="I401" i="10" l="1"/>
  <c r="K401" i="10"/>
  <c r="M401" i="10" s="1"/>
  <c r="J401" i="10"/>
  <c r="L401" i="10" s="1"/>
  <c r="D402" i="10"/>
  <c r="G402" i="10"/>
  <c r="H402" i="10" s="1"/>
  <c r="F402" i="10"/>
  <c r="I402" i="10" l="1"/>
  <c r="K402" i="10"/>
  <c r="M402" i="10" s="1"/>
  <c r="J402" i="10"/>
  <c r="L402" i="10" s="1"/>
</calcChain>
</file>

<file path=xl/sharedStrings.xml><?xml version="1.0" encoding="utf-8"?>
<sst xmlns="http://schemas.openxmlformats.org/spreadsheetml/2006/main" count="78" uniqueCount="42">
  <si>
    <t>cos_tht</t>
    <phoneticPr fontId="1"/>
  </si>
  <si>
    <t>sin_tht</t>
    <phoneticPr fontId="1"/>
  </si>
  <si>
    <t>x</t>
    <phoneticPr fontId="1"/>
  </si>
  <si>
    <t>y</t>
    <phoneticPr fontId="1"/>
  </si>
  <si>
    <t>Robot Orginal Shape</t>
    <phoneticPr fontId="1"/>
  </si>
  <si>
    <t>dt</t>
    <phoneticPr fontId="1"/>
  </si>
  <si>
    <t>L</t>
    <phoneticPr fontId="1"/>
  </si>
  <si>
    <t>初期値</t>
    <rPh sb="0" eb="3">
      <t>ショキチ</t>
    </rPh>
    <phoneticPr fontId="1"/>
  </si>
  <si>
    <t>時間
t</t>
    <rPh sb="0" eb="2">
      <t>ジカン</t>
    </rPh>
    <phoneticPr fontId="1"/>
  </si>
  <si>
    <t>右車輪
速度 Vr</t>
    <rPh sb="0" eb="1">
      <t>ミギ</t>
    </rPh>
    <rPh sb="1" eb="3">
      <t>シャリン</t>
    </rPh>
    <rPh sb="4" eb="6">
      <t>ソクド</t>
    </rPh>
    <phoneticPr fontId="1"/>
  </si>
  <si>
    <t>左車輪
速度 Vl</t>
    <rPh sb="0" eb="1">
      <t>ヒダリ</t>
    </rPh>
    <rPh sb="1" eb="3">
      <t>シャリン</t>
    </rPh>
    <rPh sb="4" eb="6">
      <t>ソクド</t>
    </rPh>
    <phoneticPr fontId="1"/>
  </si>
  <si>
    <t>ロボット
速度 V</t>
    <rPh sb="5" eb="7">
      <t>ソクド</t>
    </rPh>
    <phoneticPr fontId="1"/>
  </si>
  <si>
    <t>ロボット
角速度 w</t>
    <rPh sb="5" eb="8">
      <t>カクソクド</t>
    </rPh>
    <phoneticPr fontId="1"/>
  </si>
  <si>
    <t>姿勢角
tht(rad)</t>
    <rPh sb="0" eb="2">
      <t>シセイ</t>
    </rPh>
    <rPh sb="2" eb="3">
      <t>カク</t>
    </rPh>
    <phoneticPr fontId="1"/>
  </si>
  <si>
    <t>姿勢角
tht(deg)</t>
    <rPh sb="0" eb="2">
      <t>シセイ</t>
    </rPh>
    <rPh sb="2" eb="3">
      <t>カク</t>
    </rPh>
    <phoneticPr fontId="1"/>
  </si>
  <si>
    <t>位置座標
 x</t>
    <rPh sb="0" eb="2">
      <t>イチ</t>
    </rPh>
    <rPh sb="2" eb="4">
      <t>ザヒョウ</t>
    </rPh>
    <phoneticPr fontId="1"/>
  </si>
  <si>
    <t>位置座標
 y</t>
    <rPh sb="0" eb="2">
      <t>イチ</t>
    </rPh>
    <rPh sb="2" eb="4">
      <t>ザヒョウ</t>
    </rPh>
    <phoneticPr fontId="1"/>
  </si>
  <si>
    <t>物理量
と記号</t>
    <rPh sb="0" eb="2">
      <t>ブツリ</t>
    </rPh>
    <rPh sb="2" eb="3">
      <t>リョウ</t>
    </rPh>
    <rPh sb="5" eb="7">
      <t>キゴウ</t>
    </rPh>
    <phoneticPr fontId="1"/>
  </si>
  <si>
    <t>計算周期
sample time</t>
    <rPh sb="0" eb="2">
      <t>ケイサン</t>
    </rPh>
    <rPh sb="2" eb="4">
      <t>シュウキ</t>
    </rPh>
    <phoneticPr fontId="1"/>
  </si>
  <si>
    <t>車輪間距離
wheel dist</t>
    <rPh sb="0" eb="2">
      <t>シャリン</t>
    </rPh>
    <rPh sb="2" eb="3">
      <t>カン</t>
    </rPh>
    <rPh sb="3" eb="5">
      <t>キョリ</t>
    </rPh>
    <phoneticPr fontId="1"/>
  </si>
  <si>
    <t>データ数
Num Data</t>
    <rPh sb="3" eb="4">
      <t>スウ</t>
    </rPh>
    <phoneticPr fontId="1"/>
  </si>
  <si>
    <t>Moved Robot</t>
    <phoneticPr fontId="1"/>
  </si>
  <si>
    <t>右車輪
加速度</t>
    <rPh sb="0" eb="1">
      <t>ミギ</t>
    </rPh>
    <rPh sb="1" eb="3">
      <t>シャリン</t>
    </rPh>
    <rPh sb="4" eb="7">
      <t>カソクド</t>
    </rPh>
    <phoneticPr fontId="1"/>
  </si>
  <si>
    <t>左車輪
加速度</t>
    <rPh sb="0" eb="1">
      <t>ヒダリ</t>
    </rPh>
    <rPh sb="1" eb="3">
      <t>シャリン</t>
    </rPh>
    <rPh sb="4" eb="7">
      <t>カソクド</t>
    </rPh>
    <phoneticPr fontId="1"/>
  </si>
  <si>
    <t>機体情報</t>
    <rPh sb="0" eb="2">
      <t>キタイ</t>
    </rPh>
    <rPh sb="2" eb="4">
      <t>ジョウホウ</t>
    </rPh>
    <phoneticPr fontId="1"/>
  </si>
  <si>
    <t>トレッド</t>
    <phoneticPr fontId="1"/>
  </si>
  <si>
    <t>車輪径</t>
    <rPh sb="0" eb="2">
      <t>シャリン</t>
    </rPh>
    <rPh sb="2" eb="3">
      <t>ケイ</t>
    </rPh>
    <phoneticPr fontId="1"/>
  </si>
  <si>
    <t>モータ定格停動トルク</t>
    <rPh sb="3" eb="5">
      <t>テイカク</t>
    </rPh>
    <rPh sb="5" eb="6">
      <t>テイ</t>
    </rPh>
    <rPh sb="6" eb="7">
      <t>ドウ</t>
    </rPh>
    <phoneticPr fontId="1"/>
  </si>
  <si>
    <t>減速比</t>
    <rPh sb="0" eb="2">
      <t>ゲンソク</t>
    </rPh>
    <rPh sb="2" eb="3">
      <t>ヒ</t>
    </rPh>
    <phoneticPr fontId="1"/>
  </si>
  <si>
    <t>機体の質量</t>
    <rPh sb="0" eb="2">
      <t>キタイ</t>
    </rPh>
    <rPh sb="3" eb="5">
      <t>シツリョウ</t>
    </rPh>
    <phoneticPr fontId="1"/>
  </si>
  <si>
    <t>実入電圧</t>
    <rPh sb="0" eb="1">
      <t>ジツ</t>
    </rPh>
    <rPh sb="1" eb="2">
      <t>ニュウ</t>
    </rPh>
    <rPh sb="2" eb="4">
      <t>デンアツ</t>
    </rPh>
    <phoneticPr fontId="1"/>
  </si>
  <si>
    <t>電圧比</t>
    <rPh sb="0" eb="2">
      <t>デンアツ</t>
    </rPh>
    <rPh sb="2" eb="3">
      <t>ヒ</t>
    </rPh>
    <phoneticPr fontId="1"/>
  </si>
  <si>
    <t>実効モータトルク</t>
    <rPh sb="0" eb="2">
      <t>ジッコウ</t>
    </rPh>
    <phoneticPr fontId="1"/>
  </si>
  <si>
    <t>タイヤトルク</t>
    <phoneticPr fontId="1"/>
  </si>
  <si>
    <t>タイヤ加速度</t>
    <rPh sb="3" eb="6">
      <t>カソクド</t>
    </rPh>
    <phoneticPr fontId="1"/>
  </si>
  <si>
    <t>タイヤ力</t>
    <rPh sb="3" eb="4">
      <t>チカラ</t>
    </rPh>
    <phoneticPr fontId="1"/>
  </si>
  <si>
    <t>リポ駆動時</t>
    <rPh sb="2" eb="4">
      <t>クドウ</t>
    </rPh>
    <rPh sb="4" eb="5">
      <t>ジ</t>
    </rPh>
    <phoneticPr fontId="1"/>
  </si>
  <si>
    <t>最高加速度</t>
    <rPh sb="0" eb="2">
      <t>サイコウ</t>
    </rPh>
    <rPh sb="2" eb="5">
      <t>カソクド</t>
    </rPh>
    <phoneticPr fontId="1"/>
  </si>
  <si>
    <t>電池駆動時</t>
    <rPh sb="0" eb="2">
      <t>デンチ</t>
    </rPh>
    <rPh sb="2" eb="4">
      <t>クドウ</t>
    </rPh>
    <rPh sb="4" eb="5">
      <t>ジ</t>
    </rPh>
    <phoneticPr fontId="1"/>
  </si>
  <si>
    <t>最大加速度</t>
    <rPh sb="0" eb="2">
      <t>サイダイ</t>
    </rPh>
    <rPh sb="2" eb="5">
      <t>カソクド</t>
    </rPh>
    <phoneticPr fontId="1"/>
  </si>
  <si>
    <t>←このへんで一周が書ける</t>
    <rPh sb="6" eb="8">
      <t>イッシュウ</t>
    </rPh>
    <rPh sb="9" eb="10">
      <t>カ</t>
    </rPh>
    <phoneticPr fontId="1"/>
  </si>
  <si>
    <t>←ここからはまた別の曲線</t>
    <rPh sb="8" eb="9">
      <t>ベツ</t>
    </rPh>
    <rPh sb="10" eb="12">
      <t>キョクセン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</si>
</sst>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0_ "/>
    <numFmt numFmtId="177" formatCode="0.0_ "/>
    <numFmt numFmtId="178" formatCode="0.000_ "/>
    <numFmt numFmtId="179" formatCode="0.0000_ "/>
    <numFmt numFmtId="180" formatCode="0_ 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HGｺﾞｼｯｸE"/>
      <family val="3"/>
      <charset val="128"/>
    </font>
    <font>
      <sz val="11"/>
      <color rgb="FF0033CC"/>
      <name val="游ゴシック"/>
      <family val="2"/>
      <charset val="128"/>
      <scheme val="minor"/>
    </font>
    <font>
      <sz val="11"/>
      <color rgb="FF003399"/>
      <name val="HGｺﾞｼｯｸE"/>
      <family val="3"/>
      <charset val="128"/>
    </font>
    <font>
      <sz val="11"/>
      <color theme="5" tint="-0.249977111117893"/>
      <name val="HGｺﾞｼｯｸE"/>
      <family val="3"/>
      <charset val="128"/>
    </font>
    <font>
      <sz val="11"/>
      <color theme="5" tint="-0.249977111117893"/>
      <name val="HGSｺﾞｼｯｸE"/>
      <family val="3"/>
      <charset val="128"/>
    </font>
    <font>
      <sz val="11"/>
      <color theme="5" tint="-0.249977111117893"/>
      <name val="HGPｺﾞｼｯｸE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5">
    <xf numFmtId="0" fontId="0" fillId="0" borderId="0" xfId="0">
      <alignment vertical="center"/>
    </xf>
    <xf numFmtId="176" fontId="0" fillId="0" borderId="0" xfId="0" applyNumberFormat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178" fontId="0" fillId="5" borderId="0" xfId="0" applyNumberFormat="1" applyFill="1" applyAlignment="1">
      <alignment horizontal="right" vertical="center"/>
    </xf>
    <xf numFmtId="178" fontId="0" fillId="5" borderId="1" xfId="0" applyNumberFormat="1" applyFill="1" applyBorder="1">
      <alignment vertical="center"/>
    </xf>
    <xf numFmtId="178" fontId="0" fillId="5" borderId="0" xfId="0" applyNumberFormat="1" applyFill="1">
      <alignment vertical="center"/>
    </xf>
    <xf numFmtId="0" fontId="2" fillId="0" borderId="10" xfId="0" applyFont="1" applyFill="1" applyBorder="1" applyAlignment="1">
      <alignment horizontal="center" vertical="center"/>
    </xf>
    <xf numFmtId="176" fontId="3" fillId="0" borderId="6" xfId="0" applyNumberFormat="1" applyFont="1" applyFill="1" applyBorder="1" applyAlignment="1">
      <alignment horizontal="center" vertical="center"/>
    </xf>
    <xf numFmtId="176" fontId="3" fillId="0" borderId="7" xfId="0" applyNumberFormat="1" applyFont="1" applyFill="1" applyBorder="1" applyAlignment="1">
      <alignment horizontal="center" vertical="center"/>
    </xf>
    <xf numFmtId="179" fontId="3" fillId="0" borderId="7" xfId="0" applyNumberFormat="1" applyFont="1" applyFill="1" applyBorder="1" applyAlignment="1">
      <alignment horizontal="center" vertical="center"/>
    </xf>
    <xf numFmtId="177" fontId="3" fillId="0" borderId="7" xfId="0" applyNumberFormat="1" applyFont="1" applyFill="1" applyBorder="1" applyAlignment="1">
      <alignment horizontal="center" vertical="center"/>
    </xf>
    <xf numFmtId="178" fontId="3" fillId="0" borderId="7" xfId="0" applyNumberFormat="1" applyFont="1" applyFill="1" applyBorder="1" applyAlignment="1">
      <alignment horizontal="center" vertical="center"/>
    </xf>
    <xf numFmtId="179" fontId="3" fillId="0" borderId="8" xfId="0" applyNumberFormat="1" applyFont="1" applyFill="1" applyBorder="1" applyAlignment="1">
      <alignment horizontal="center" vertical="center"/>
    </xf>
    <xf numFmtId="180" fontId="0" fillId="0" borderId="1" xfId="0" applyNumberFormat="1" applyBorder="1">
      <alignment vertical="center"/>
    </xf>
    <xf numFmtId="178" fontId="0" fillId="0" borderId="2" xfId="0" applyNumberFormat="1" applyBorder="1">
      <alignment vertical="center"/>
    </xf>
    <xf numFmtId="178" fontId="0" fillId="0" borderId="11" xfId="0" applyNumberFormat="1" applyBorder="1">
      <alignment vertical="center"/>
    </xf>
    <xf numFmtId="176" fontId="4" fillId="3" borderId="3" xfId="0" applyNumberFormat="1" applyFont="1" applyFill="1" applyBorder="1" applyAlignment="1">
      <alignment horizontal="center" vertical="center" wrapText="1"/>
    </xf>
    <xf numFmtId="176" fontId="4" fillId="3" borderId="4" xfId="0" applyNumberFormat="1" applyFont="1" applyFill="1" applyBorder="1" applyAlignment="1">
      <alignment horizontal="center" vertical="center" wrapText="1"/>
    </xf>
    <xf numFmtId="179" fontId="4" fillId="3" borderId="4" xfId="0" applyNumberFormat="1" applyFont="1" applyFill="1" applyBorder="1" applyAlignment="1">
      <alignment horizontal="center" vertical="center" wrapText="1"/>
    </xf>
    <xf numFmtId="177" fontId="4" fillId="3" borderId="4" xfId="0" applyNumberFormat="1" applyFont="1" applyFill="1" applyBorder="1" applyAlignment="1">
      <alignment horizontal="center" vertical="center" wrapText="1"/>
    </xf>
    <xf numFmtId="178" fontId="4" fillId="3" borderId="4" xfId="0" applyNumberFormat="1" applyFont="1" applyFill="1" applyBorder="1" applyAlignment="1">
      <alignment horizontal="center" vertical="center"/>
    </xf>
    <xf numFmtId="179" fontId="4" fillId="3" borderId="5" xfId="0" applyNumberFormat="1" applyFont="1" applyFill="1" applyBorder="1" applyAlignment="1">
      <alignment horizontal="center" vertical="center" wrapText="1"/>
    </xf>
    <xf numFmtId="0" fontId="4" fillId="0" borderId="9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 wrapText="1"/>
    </xf>
    <xf numFmtId="0" fontId="6" fillId="0" borderId="0" xfId="0" applyFont="1">
      <alignment vertical="center"/>
    </xf>
    <xf numFmtId="0" fontId="6" fillId="4" borderId="1" xfId="0" applyFont="1" applyFill="1" applyBorder="1" applyAlignment="1">
      <alignment vertical="center" wrapText="1"/>
    </xf>
    <xf numFmtId="0" fontId="7" fillId="4" borderId="1" xfId="0" applyFont="1" applyFill="1" applyBorder="1" applyAlignment="1">
      <alignment horizontal="center" vertical="center"/>
    </xf>
    <xf numFmtId="0" fontId="7" fillId="0" borderId="0" xfId="0" applyFont="1">
      <alignment vertical="center"/>
    </xf>
    <xf numFmtId="178" fontId="0" fillId="4" borderId="1" xfId="0" applyNumberFormat="1" applyFill="1" applyBorder="1">
      <alignment vertical="center"/>
    </xf>
    <xf numFmtId="178" fontId="0" fillId="4" borderId="0" xfId="0" applyNumberFormat="1" applyFill="1">
      <alignment vertical="center"/>
    </xf>
    <xf numFmtId="0" fontId="0" fillId="4" borderId="1" xfId="0" applyFill="1" applyBorder="1">
      <alignment vertical="center"/>
    </xf>
    <xf numFmtId="0" fontId="0" fillId="4" borderId="0" xfId="0" applyFill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33CC"/>
      <color rgb="FFFFFFCC"/>
      <color rgb="FF003399"/>
      <color rgb="FFCCE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00" b="0" i="0" u="none" strike="noStrike" kern="1200" spc="0" baseline="0">
                <a:solidFill>
                  <a:schemeClr val="accent2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>
                <a:solidFill>
                  <a:schemeClr val="accent2">
                    <a:lumMod val="75000"/>
                  </a:schemeClr>
                </a:solidFill>
                <a:latin typeface="HGPｺﾞｼｯｸE" panose="020B0900000000000000" pitchFamily="50" charset="-128"/>
                <a:ea typeface="HGPｺﾞｼｯｸE" panose="020B0900000000000000" pitchFamily="50" charset="-128"/>
              </a:rPr>
              <a:t>絵描きロボットの走行軌道</a:t>
            </a:r>
            <a:endParaRPr lang="en-US" altLang="ja-JP">
              <a:solidFill>
                <a:schemeClr val="accent2">
                  <a:lumMod val="75000"/>
                </a:schemeClr>
              </a:solidFill>
              <a:latin typeface="HGPｺﾞｼｯｸE" panose="020B0900000000000000" pitchFamily="50" charset="-128"/>
              <a:ea typeface="HGPｺﾞｼｯｸE" panose="020B0900000000000000" pitchFamily="50" charset="-12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00" b="0" i="0" u="none" strike="noStrike" kern="1200" spc="0" baseline="0">
              <a:solidFill>
                <a:schemeClr val="accent2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6.8202468257480817E-2"/>
          <c:y val="0.11047849085475975"/>
          <c:w val="0.87928857784046544"/>
          <c:h val="0.84106603070017016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RobotMotion!$L$2:$L$402</c:f>
              <c:numCache>
                <c:formatCode>0.0000_ </c:formatCode>
                <c:ptCount val="401"/>
                <c:pt idx="0">
                  <c:v>0</c:v>
                </c:pt>
                <c:pt idx="1">
                  <c:v>3.6249986260509983E-3</c:v>
                </c:pt>
                <c:pt idx="2">
                  <c:v>1.0874954659724587E-2</c:v>
                </c:pt>
                <c:pt idx="3">
                  <c:v>2.087481821267707E-2</c:v>
                </c:pt>
                <c:pt idx="4">
                  <c:v>3.0874681765629554E-2</c:v>
                </c:pt>
                <c:pt idx="5">
                  <c:v>4.0874545318582034E-2</c:v>
                </c:pt>
                <c:pt idx="6">
                  <c:v>5.0874408871534521E-2</c:v>
                </c:pt>
                <c:pt idx="7">
                  <c:v>6.0874272424487008E-2</c:v>
                </c:pt>
                <c:pt idx="8">
                  <c:v>7.0874135977439495E-2</c:v>
                </c:pt>
                <c:pt idx="9">
                  <c:v>8.0873999530391982E-2</c:v>
                </c:pt>
                <c:pt idx="10">
                  <c:v>9.0873863083344469E-2</c:v>
                </c:pt>
                <c:pt idx="11">
                  <c:v>0.10087372663629696</c:v>
                </c:pt>
                <c:pt idx="12">
                  <c:v>0.11087359018924944</c:v>
                </c:pt>
                <c:pt idx="13">
                  <c:v>0.12087345374220193</c:v>
                </c:pt>
                <c:pt idx="14">
                  <c:v>0.13087331729515442</c:v>
                </c:pt>
                <c:pt idx="15">
                  <c:v>0.1408731808481069</c:v>
                </c:pt>
                <c:pt idx="16">
                  <c:v>0.15087304440105939</c:v>
                </c:pt>
                <c:pt idx="17">
                  <c:v>0.16087290795401188</c:v>
                </c:pt>
                <c:pt idx="18">
                  <c:v>0.17087277150696437</c:v>
                </c:pt>
                <c:pt idx="19">
                  <c:v>0.18087263505991685</c:v>
                </c:pt>
                <c:pt idx="20">
                  <c:v>0.19087249861286934</c:v>
                </c:pt>
                <c:pt idx="21">
                  <c:v>0.19912229849088695</c:v>
                </c:pt>
                <c:pt idx="22">
                  <c:v>0.20561614038137602</c:v>
                </c:pt>
                <c:pt idx="23">
                  <c:v>0.21183853014407233</c:v>
                </c:pt>
                <c:pt idx="24">
                  <c:v>0.21802179005785172</c:v>
                </c:pt>
                <c:pt idx="25">
                  <c:v>0.2241490501701133</c:v>
                </c:pt>
                <c:pt idx="26">
                  <c:v>0.23020359331400519</c:v>
                </c:pt>
                <c:pt idx="27">
                  <c:v>0.23616890071831581</c:v>
                </c:pt>
                <c:pt idx="28">
                  <c:v>0.24202869707607702</c:v>
                </c:pt>
                <c:pt idx="29">
                  <c:v>0.24776699494891738</c:v>
                </c:pt>
                <c:pt idx="30">
                  <c:v>0.25336813838601574</c:v>
                </c:pt>
                <c:pt idx="31">
                  <c:v>0.25881684563864854</c:v>
                </c:pt>
                <c:pt idx="32">
                  <c:v>0.26409825085379168</c:v>
                </c:pt>
                <c:pt idx="33">
                  <c:v>0.26919794463302305</c:v>
                </c:pt>
                <c:pt idx="34">
                  <c:v>0.27410201334606754</c:v>
                </c:pt>
                <c:pt idx="35">
                  <c:v>0.27879707709172519</c:v>
                </c:pt>
                <c:pt idx="36">
                  <c:v>0.28327032620261144</c:v>
                </c:pt>
                <c:pt idx="37">
                  <c:v>0.28750955619411384</c:v>
                </c:pt>
                <c:pt idx="38">
                  <c:v>0.29150320106221217</c:v>
                </c:pt>
                <c:pt idx="39">
                  <c:v>0.29524036483931504</c:v>
                </c:pt>
                <c:pt idx="40">
                  <c:v>0.29871085132201836</c:v>
                </c:pt>
                <c:pt idx="41">
                  <c:v>0.30190519188967835</c:v>
                </c:pt>
                <c:pt idx="42">
                  <c:v>0.30481467133790141</c:v>
                </c:pt>
                <c:pt idx="43">
                  <c:v>0.30743135165646812</c:v>
                </c:pt>
                <c:pt idx="44">
                  <c:v>0.30974809368681788</c:v>
                </c:pt>
                <c:pt idx="45">
                  <c:v>0.31175857660000522</c:v>
                </c:pt>
                <c:pt idx="46">
                  <c:v>0.3134573151419856</c:v>
                </c:pt>
                <c:pt idx="47">
                  <c:v>0.31483967459918011</c:v>
                </c:pt>
                <c:pt idx="48">
                  <c:v>0.31590188344348774</c:v>
                </c:pt>
                <c:pt idx="49">
                  <c:v>0.3166410436222461</c:v>
                </c:pt>
                <c:pt idx="50">
                  <c:v>0.31705513846506544</c:v>
                </c:pt>
                <c:pt idx="51">
                  <c:v>0.31714303818596429</c:v>
                </c:pt>
                <c:pt idx="52">
                  <c:v>0.31690450296579448</c:v>
                </c:pt>
                <c:pt idx="53">
                  <c:v>0.31634018360654625</c:v>
                </c:pt>
                <c:pt idx="54">
                  <c:v>0.31545161975574776</c:v>
                </c:pt>
                <c:pt idx="55">
                  <c:v>0.31424123570580376</c:v>
                </c:pt>
                <c:pt idx="56">
                  <c:v>0.31271233377973423</c:v>
                </c:pt>
                <c:pt idx="57">
                  <c:v>0.31086908532135837</c:v>
                </c:pt>
                <c:pt idx="58">
                  <c:v>0.30871651931450644</c:v>
                </c:pt>
                <c:pt idx="59">
                  <c:v>0.30626050866230919</c:v>
                </c:pt>
                <c:pt idx="60">
                  <c:v>0.303507754164</c:v>
                </c:pt>
                <c:pt idx="61">
                  <c:v>0.30046576623294585</c:v>
                </c:pt>
                <c:pt idx="62">
                  <c:v>0.29714284440578681</c:v>
                </c:pt>
                <c:pt idx="63">
                  <c:v>0.29354805469858924</c:v>
                </c:pt>
                <c:pt idx="64">
                  <c:v>0.28969120487179278</c:v>
                </c:pt>
                <c:pt idx="65">
                  <c:v>0.28558281767143656</c:v>
                </c:pt>
                <c:pt idx="66">
                  <c:v>0.2812341021196712</c:v>
                </c:pt>
                <c:pt idx="67">
                  <c:v>0.27665692293288507</c:v>
                </c:pt>
                <c:pt idx="68">
                  <c:v>0.27186376815088303</c:v>
                </c:pt>
                <c:pt idx="69">
                  <c:v>0.26686771506543489</c:v>
                </c:pt>
                <c:pt idx="70">
                  <c:v>0.26168239454115222</c:v>
                </c:pt>
                <c:pt idx="71">
                  <c:v>0.25632195382603767</c:v>
                </c:pt>
                <c:pt idx="72">
                  <c:v>0.25080101795317172</c:v>
                </c:pt>
                <c:pt idx="73">
                  <c:v>0.24513464983884548</c:v>
                </c:pt>
                <c:pt idx="74">
                  <c:v>0.23933830918600543</c:v>
                </c:pt>
                <c:pt idx="75">
                  <c:v>0.23342781030513432</c:v>
                </c:pt>
                <c:pt idx="76">
                  <c:v>0.22741927896764694</c:v>
                </c:pt>
                <c:pt idx="77">
                  <c:v>0.22132910840951878</c:v>
                </c:pt>
                <c:pt idx="78">
                  <c:v>0.21517391460518398</c:v>
                </c:pt>
                <c:pt idx="79">
                  <c:v>0.20897049093372999</c:v>
                </c:pt>
                <c:pt idx="80">
                  <c:v>0.20273576236107446</c:v>
                </c:pt>
                <c:pt idx="81">
                  <c:v>0.19648673926313021</c:v>
                </c:pt>
                <c:pt idx="82">
                  <c:v>0.19024047101594388</c:v>
                </c:pt>
                <c:pt idx="83">
                  <c:v>0.18401399947942948</c:v>
                </c:pt>
                <c:pt idx="84">
                  <c:v>0.17782431250160835</c:v>
                </c:pt>
                <c:pt idx="85">
                  <c:v>0.17168829757021128</c:v>
                </c:pt>
                <c:pt idx="86">
                  <c:v>0.16562269573809621</c:v>
                </c:pt>
                <c:pt idx="87">
                  <c:v>0.15964405594818815</c:v>
                </c:pt>
                <c:pt idx="88">
                  <c:v>0.15376868988255771</c:v>
                </c:pt>
                <c:pt idx="89">
                  <c:v>0.14801262745882474</c:v>
                </c:pt>
                <c:pt idx="90">
                  <c:v>0.14239157309530742</c:v>
                </c:pt>
                <c:pt idx="91">
                  <c:v>0.13692086286423982</c:v>
                </c:pt>
                <c:pt idx="92">
                  <c:v>0.13161542264995774</c:v>
                </c:pt>
                <c:pt idx="93">
                  <c:v>0.12648972742621123</c:v>
                </c:pt>
                <c:pt idx="94">
                  <c:v>0.12155776176370847</c:v>
                </c:pt>
                <c:pt idx="95">
                  <c:v>0.11683298167563923</c:v>
                </c:pt>
                <c:pt idx="96">
                  <c:v>0.11232827790527594</c:v>
                </c:pt>
                <c:pt idx="97">
                  <c:v>0.10805594075581576</c:v>
                </c:pt>
                <c:pt idx="98">
                  <c:v>0.10402762655841918</c:v>
                </c:pt>
                <c:pt idx="99">
                  <c:v>0.10025432586993148</c:v>
                </c:pt>
                <c:pt idx="100">
                  <c:v>9.6746333487053957E-2</c:v>
                </c:pt>
                <c:pt idx="101">
                  <c:v>9.3513220358776086E-2</c:v>
                </c:pt>
                <c:pt idx="102">
                  <c:v>9.056380747370063E-2</c:v>
                </c:pt>
                <c:pt idx="103">
                  <c:v>8.7906141793505629E-2</c:v>
                </c:pt>
                <c:pt idx="104">
                  <c:v>8.5547474298204737E-2</c:v>
                </c:pt>
                <c:pt idx="105">
                  <c:v>8.3494240203105377E-2</c:v>
                </c:pt>
                <c:pt idx="106">
                  <c:v>8.1752041401439574E-2</c:v>
                </c:pt>
                <c:pt idx="107">
                  <c:v>8.0325631180569526E-2</c:v>
                </c:pt>
                <c:pt idx="108">
                  <c:v>7.9218901253467214E-2</c:v>
                </c:pt>
                <c:pt idx="109">
                  <c:v>7.8434871140850265E-2</c:v>
                </c:pt>
                <c:pt idx="110">
                  <c:v>7.797567993294327E-2</c:v>
                </c:pt>
                <c:pt idx="111">
                  <c:v>7.7696581314604579E-2</c:v>
                </c:pt>
                <c:pt idx="112">
                  <c:v>7.7483622147240791E-2</c:v>
                </c:pt>
                <c:pt idx="113">
                  <c:v>7.7270662979877003E-2</c:v>
                </c:pt>
                <c:pt idx="114">
                  <c:v>7.7057703812513215E-2</c:v>
                </c:pt>
                <c:pt idx="115">
                  <c:v>7.6844744645149426E-2</c:v>
                </c:pt>
                <c:pt idx="116">
                  <c:v>7.6631785477785638E-2</c:v>
                </c:pt>
                <c:pt idx="117">
                  <c:v>7.641882631042185E-2</c:v>
                </c:pt>
                <c:pt idx="118">
                  <c:v>7.6205867143058062E-2</c:v>
                </c:pt>
                <c:pt idx="119">
                  <c:v>7.5992907975694274E-2</c:v>
                </c:pt>
                <c:pt idx="120">
                  <c:v>7.5779948808330486E-2</c:v>
                </c:pt>
                <c:pt idx="121">
                  <c:v>7.5566989640966697E-2</c:v>
                </c:pt>
                <c:pt idx="122">
                  <c:v>7.5354030473602909E-2</c:v>
                </c:pt>
                <c:pt idx="123">
                  <c:v>7.5141071306239121E-2</c:v>
                </c:pt>
                <c:pt idx="124">
                  <c:v>7.4928112138875333E-2</c:v>
                </c:pt>
                <c:pt idx="125">
                  <c:v>7.4715152971511545E-2</c:v>
                </c:pt>
                <c:pt idx="126">
                  <c:v>7.4502193804147757E-2</c:v>
                </c:pt>
                <c:pt idx="127">
                  <c:v>7.4289234636783968E-2</c:v>
                </c:pt>
                <c:pt idx="128">
                  <c:v>7.407627546942018E-2</c:v>
                </c:pt>
                <c:pt idx="129">
                  <c:v>7.3863316302056392E-2</c:v>
                </c:pt>
                <c:pt idx="130">
                  <c:v>7.3650357134692604E-2</c:v>
                </c:pt>
                <c:pt idx="131">
                  <c:v>7.3437397967328816E-2</c:v>
                </c:pt>
                <c:pt idx="132">
                  <c:v>7.3224438799965028E-2</c:v>
                </c:pt>
                <c:pt idx="133">
                  <c:v>7.3011479632601239E-2</c:v>
                </c:pt>
                <c:pt idx="134">
                  <c:v>7.2798520465237451E-2</c:v>
                </c:pt>
                <c:pt idx="135">
                  <c:v>7.2585561297873663E-2</c:v>
                </c:pt>
                <c:pt idx="136">
                  <c:v>7.2372602130509875E-2</c:v>
                </c:pt>
                <c:pt idx="137">
                  <c:v>7.2159642963146087E-2</c:v>
                </c:pt>
                <c:pt idx="138">
                  <c:v>7.1946683795782299E-2</c:v>
                </c:pt>
                <c:pt idx="139">
                  <c:v>7.173372462841851E-2</c:v>
                </c:pt>
                <c:pt idx="140">
                  <c:v>7.1520765461054722E-2</c:v>
                </c:pt>
                <c:pt idx="141">
                  <c:v>7.1307806293690934E-2</c:v>
                </c:pt>
                <c:pt idx="142">
                  <c:v>7.1094847126327146E-2</c:v>
                </c:pt>
                <c:pt idx="143">
                  <c:v>7.0881887958963358E-2</c:v>
                </c:pt>
                <c:pt idx="144">
                  <c:v>7.066892879159957E-2</c:v>
                </c:pt>
                <c:pt idx="145">
                  <c:v>7.0455969624235781E-2</c:v>
                </c:pt>
                <c:pt idx="146">
                  <c:v>7.0243010456871993E-2</c:v>
                </c:pt>
                <c:pt idx="147">
                  <c:v>7.0030051289508205E-2</c:v>
                </c:pt>
                <c:pt idx="148">
                  <c:v>6.9817092122144417E-2</c:v>
                </c:pt>
                <c:pt idx="149">
                  <c:v>6.9604132954780629E-2</c:v>
                </c:pt>
                <c:pt idx="150">
                  <c:v>6.9391173787416841E-2</c:v>
                </c:pt>
                <c:pt idx="151">
                  <c:v>6.9178214620053052E-2</c:v>
                </c:pt>
                <c:pt idx="152">
                  <c:v>6.8965255452689264E-2</c:v>
                </c:pt>
                <c:pt idx="153">
                  <c:v>6.8752296285325476E-2</c:v>
                </c:pt>
                <c:pt idx="154">
                  <c:v>6.8539337117961688E-2</c:v>
                </c:pt>
                <c:pt idx="155">
                  <c:v>6.83263779505979E-2</c:v>
                </c:pt>
                <c:pt idx="156">
                  <c:v>6.8113418783234111E-2</c:v>
                </c:pt>
                <c:pt idx="157">
                  <c:v>6.7900459615870323E-2</c:v>
                </c:pt>
                <c:pt idx="158">
                  <c:v>6.7687500448506535E-2</c:v>
                </c:pt>
                <c:pt idx="159">
                  <c:v>6.7474541281142747E-2</c:v>
                </c:pt>
                <c:pt idx="160">
                  <c:v>6.7261582113778959E-2</c:v>
                </c:pt>
                <c:pt idx="161">
                  <c:v>6.7048622946415171E-2</c:v>
                </c:pt>
                <c:pt idx="162">
                  <c:v>6.6835663779051382E-2</c:v>
                </c:pt>
                <c:pt idx="163">
                  <c:v>6.6622704611687594E-2</c:v>
                </c:pt>
                <c:pt idx="164">
                  <c:v>6.6409745444323806E-2</c:v>
                </c:pt>
                <c:pt idx="165">
                  <c:v>6.6196786276960018E-2</c:v>
                </c:pt>
                <c:pt idx="166">
                  <c:v>6.598382710959623E-2</c:v>
                </c:pt>
                <c:pt idx="167">
                  <c:v>6.5770867942232442E-2</c:v>
                </c:pt>
                <c:pt idx="168">
                  <c:v>6.5557908774868653E-2</c:v>
                </c:pt>
                <c:pt idx="169">
                  <c:v>6.5344949607504865E-2</c:v>
                </c:pt>
                <c:pt idx="170">
                  <c:v>6.5131990440141077E-2</c:v>
                </c:pt>
                <c:pt idx="171">
                  <c:v>6.4919031272777289E-2</c:v>
                </c:pt>
                <c:pt idx="172">
                  <c:v>6.4706072105413501E-2</c:v>
                </c:pt>
                <c:pt idx="173">
                  <c:v>6.4493112938049713E-2</c:v>
                </c:pt>
                <c:pt idx="174">
                  <c:v>6.4280153770685924E-2</c:v>
                </c:pt>
                <c:pt idx="175">
                  <c:v>6.4067194603322136E-2</c:v>
                </c:pt>
                <c:pt idx="176">
                  <c:v>6.3854235435958348E-2</c:v>
                </c:pt>
                <c:pt idx="177">
                  <c:v>6.364127626859456E-2</c:v>
                </c:pt>
                <c:pt idx="178">
                  <c:v>6.3428317101230772E-2</c:v>
                </c:pt>
                <c:pt idx="179">
                  <c:v>6.3215357933866984E-2</c:v>
                </c:pt>
                <c:pt idx="180">
                  <c:v>6.3002398766503195E-2</c:v>
                </c:pt>
                <c:pt idx="181">
                  <c:v>6.2789439599139407E-2</c:v>
                </c:pt>
                <c:pt idx="182">
                  <c:v>6.2576480431775619E-2</c:v>
                </c:pt>
                <c:pt idx="183">
                  <c:v>6.2363521264411831E-2</c:v>
                </c:pt>
                <c:pt idx="184">
                  <c:v>6.2150562097048043E-2</c:v>
                </c:pt>
                <c:pt idx="185">
                  <c:v>6.1937602929684255E-2</c:v>
                </c:pt>
                <c:pt idx="186">
                  <c:v>6.1724643762320466E-2</c:v>
                </c:pt>
                <c:pt idx="187">
                  <c:v>6.1511684594956678E-2</c:v>
                </c:pt>
                <c:pt idx="188">
                  <c:v>6.129872542759289E-2</c:v>
                </c:pt>
                <c:pt idx="189">
                  <c:v>6.1085766260229102E-2</c:v>
                </c:pt>
                <c:pt idx="190">
                  <c:v>6.0872807092865314E-2</c:v>
                </c:pt>
                <c:pt idx="191">
                  <c:v>6.0659847925501525E-2</c:v>
                </c:pt>
                <c:pt idx="192">
                  <c:v>6.0446888758137737E-2</c:v>
                </c:pt>
                <c:pt idx="193">
                  <c:v>6.0233929590773949E-2</c:v>
                </c:pt>
                <c:pt idx="194">
                  <c:v>6.0020970423410161E-2</c:v>
                </c:pt>
                <c:pt idx="195">
                  <c:v>5.9808011256046373E-2</c:v>
                </c:pt>
                <c:pt idx="196">
                  <c:v>5.9595052088682585E-2</c:v>
                </c:pt>
                <c:pt idx="197">
                  <c:v>5.9382092921318796E-2</c:v>
                </c:pt>
                <c:pt idx="198">
                  <c:v>5.9169133753955008E-2</c:v>
                </c:pt>
                <c:pt idx="199">
                  <c:v>5.895617458659122E-2</c:v>
                </c:pt>
                <c:pt idx="200">
                  <c:v>5.8743215419227432E-2</c:v>
                </c:pt>
                <c:pt idx="201">
                  <c:v>5.8530256251863644E-2</c:v>
                </c:pt>
                <c:pt idx="202">
                  <c:v>5.8317297084499856E-2</c:v>
                </c:pt>
                <c:pt idx="203">
                  <c:v>5.8104337917136067E-2</c:v>
                </c:pt>
                <c:pt idx="204">
                  <c:v>5.7891378749772279E-2</c:v>
                </c:pt>
                <c:pt idx="205">
                  <c:v>5.7678419582408491E-2</c:v>
                </c:pt>
                <c:pt idx="206">
                  <c:v>5.7465460415044703E-2</c:v>
                </c:pt>
                <c:pt idx="207">
                  <c:v>5.7252501247680915E-2</c:v>
                </c:pt>
                <c:pt idx="208">
                  <c:v>5.7039542080317127E-2</c:v>
                </c:pt>
                <c:pt idx="209">
                  <c:v>5.6826582912953338E-2</c:v>
                </c:pt>
                <c:pt idx="210">
                  <c:v>5.661362374558955E-2</c:v>
                </c:pt>
                <c:pt idx="211">
                  <c:v>5.6400664578225762E-2</c:v>
                </c:pt>
                <c:pt idx="212">
                  <c:v>5.6187705410861974E-2</c:v>
                </c:pt>
                <c:pt idx="213">
                  <c:v>5.5974746243498186E-2</c:v>
                </c:pt>
                <c:pt idx="214">
                  <c:v>5.5761787076134398E-2</c:v>
                </c:pt>
                <c:pt idx="215">
                  <c:v>5.5548827908770609E-2</c:v>
                </c:pt>
                <c:pt idx="216">
                  <c:v>5.5335868741406821E-2</c:v>
                </c:pt>
                <c:pt idx="217">
                  <c:v>5.5122909574043033E-2</c:v>
                </c:pt>
                <c:pt idx="218">
                  <c:v>5.4909950406679245E-2</c:v>
                </c:pt>
                <c:pt idx="219">
                  <c:v>5.4696991239315457E-2</c:v>
                </c:pt>
                <c:pt idx="220">
                  <c:v>5.4484032071951669E-2</c:v>
                </c:pt>
                <c:pt idx="221">
                  <c:v>5.427107290458788E-2</c:v>
                </c:pt>
                <c:pt idx="222">
                  <c:v>5.4058113737224092E-2</c:v>
                </c:pt>
                <c:pt idx="223">
                  <c:v>5.3845154569860304E-2</c:v>
                </c:pt>
                <c:pt idx="224">
                  <c:v>5.3632195402496516E-2</c:v>
                </c:pt>
                <c:pt idx="225">
                  <c:v>5.3419236235132728E-2</c:v>
                </c:pt>
                <c:pt idx="226">
                  <c:v>5.320627706776894E-2</c:v>
                </c:pt>
                <c:pt idx="227">
                  <c:v>5.2993317900405151E-2</c:v>
                </c:pt>
                <c:pt idx="228">
                  <c:v>5.2780358733041363E-2</c:v>
                </c:pt>
                <c:pt idx="229">
                  <c:v>5.2567399565677575E-2</c:v>
                </c:pt>
                <c:pt idx="230">
                  <c:v>5.2354440398313787E-2</c:v>
                </c:pt>
                <c:pt idx="231">
                  <c:v>5.2141481230949999E-2</c:v>
                </c:pt>
                <c:pt idx="232">
                  <c:v>5.192852206358621E-2</c:v>
                </c:pt>
                <c:pt idx="233">
                  <c:v>5.1715562896222422E-2</c:v>
                </c:pt>
                <c:pt idx="234">
                  <c:v>5.1502603728858634E-2</c:v>
                </c:pt>
                <c:pt idx="235">
                  <c:v>5.1289644561494846E-2</c:v>
                </c:pt>
                <c:pt idx="236">
                  <c:v>5.1076685394131058E-2</c:v>
                </c:pt>
                <c:pt idx="237">
                  <c:v>5.086372622676727E-2</c:v>
                </c:pt>
                <c:pt idx="238">
                  <c:v>5.0650767059403481E-2</c:v>
                </c:pt>
                <c:pt idx="239">
                  <c:v>5.0437807892039693E-2</c:v>
                </c:pt>
                <c:pt idx="240">
                  <c:v>5.0224848724675905E-2</c:v>
                </c:pt>
                <c:pt idx="241">
                  <c:v>5.0011889557312117E-2</c:v>
                </c:pt>
                <c:pt idx="242">
                  <c:v>4.9798930389948329E-2</c:v>
                </c:pt>
                <c:pt idx="243">
                  <c:v>4.9585971222584541E-2</c:v>
                </c:pt>
                <c:pt idx="244">
                  <c:v>4.9373012055220752E-2</c:v>
                </c:pt>
                <c:pt idx="245">
                  <c:v>4.9160052887856964E-2</c:v>
                </c:pt>
                <c:pt idx="246">
                  <c:v>4.8947093720493176E-2</c:v>
                </c:pt>
                <c:pt idx="247">
                  <c:v>4.8734134553129388E-2</c:v>
                </c:pt>
                <c:pt idx="248">
                  <c:v>4.85211753857656E-2</c:v>
                </c:pt>
                <c:pt idx="249">
                  <c:v>4.8308216218401812E-2</c:v>
                </c:pt>
                <c:pt idx="250">
                  <c:v>4.8095257051038023E-2</c:v>
                </c:pt>
                <c:pt idx="251">
                  <c:v>4.7882297883674235E-2</c:v>
                </c:pt>
                <c:pt idx="252">
                  <c:v>4.7669338716310447E-2</c:v>
                </c:pt>
                <c:pt idx="253">
                  <c:v>4.7456379548946659E-2</c:v>
                </c:pt>
                <c:pt idx="254">
                  <c:v>4.7243420381582871E-2</c:v>
                </c:pt>
                <c:pt idx="255">
                  <c:v>4.7030461214219083E-2</c:v>
                </c:pt>
                <c:pt idx="256">
                  <c:v>4.6817502046855294E-2</c:v>
                </c:pt>
                <c:pt idx="257">
                  <c:v>4.6604542879491506E-2</c:v>
                </c:pt>
                <c:pt idx="258">
                  <c:v>4.6391583712127718E-2</c:v>
                </c:pt>
                <c:pt idx="259">
                  <c:v>4.617862454476393E-2</c:v>
                </c:pt>
                <c:pt idx="260">
                  <c:v>4.5965665377400142E-2</c:v>
                </c:pt>
                <c:pt idx="261">
                  <c:v>4.5752706210036354E-2</c:v>
                </c:pt>
                <c:pt idx="262">
                  <c:v>4.5539747042672565E-2</c:v>
                </c:pt>
                <c:pt idx="263">
                  <c:v>4.5326787875308777E-2</c:v>
                </c:pt>
                <c:pt idx="264">
                  <c:v>4.5113828707944989E-2</c:v>
                </c:pt>
                <c:pt idx="265">
                  <c:v>4.4900869540581201E-2</c:v>
                </c:pt>
                <c:pt idx="266">
                  <c:v>4.4687910373217413E-2</c:v>
                </c:pt>
                <c:pt idx="267">
                  <c:v>4.4474951205853624E-2</c:v>
                </c:pt>
                <c:pt idx="268">
                  <c:v>4.4261992038489836E-2</c:v>
                </c:pt>
                <c:pt idx="269">
                  <c:v>4.4049032871126048E-2</c:v>
                </c:pt>
                <c:pt idx="270">
                  <c:v>4.383607370376226E-2</c:v>
                </c:pt>
                <c:pt idx="271">
                  <c:v>4.3623114536398472E-2</c:v>
                </c:pt>
                <c:pt idx="272">
                  <c:v>4.3410155369034684E-2</c:v>
                </c:pt>
                <c:pt idx="273">
                  <c:v>4.3197196201670895E-2</c:v>
                </c:pt>
                <c:pt idx="274">
                  <c:v>4.2984237034307107E-2</c:v>
                </c:pt>
                <c:pt idx="275">
                  <c:v>4.2771277866943319E-2</c:v>
                </c:pt>
                <c:pt idx="276">
                  <c:v>4.2558318699579531E-2</c:v>
                </c:pt>
                <c:pt idx="277">
                  <c:v>4.2345359532215743E-2</c:v>
                </c:pt>
                <c:pt idx="278">
                  <c:v>4.2132400364851955E-2</c:v>
                </c:pt>
                <c:pt idx="279">
                  <c:v>4.1919441197488166E-2</c:v>
                </c:pt>
                <c:pt idx="280">
                  <c:v>4.1706482030124378E-2</c:v>
                </c:pt>
                <c:pt idx="281">
                  <c:v>4.149352286276059E-2</c:v>
                </c:pt>
                <c:pt idx="282">
                  <c:v>4.1280563695396802E-2</c:v>
                </c:pt>
                <c:pt idx="283">
                  <c:v>4.1067604528033014E-2</c:v>
                </c:pt>
                <c:pt idx="284">
                  <c:v>4.0854645360669226E-2</c:v>
                </c:pt>
                <c:pt idx="285">
                  <c:v>4.0641686193305437E-2</c:v>
                </c:pt>
                <c:pt idx="286">
                  <c:v>4.0428727025941649E-2</c:v>
                </c:pt>
                <c:pt idx="287">
                  <c:v>4.0215767858577861E-2</c:v>
                </c:pt>
                <c:pt idx="288">
                  <c:v>4.0002808691214073E-2</c:v>
                </c:pt>
                <c:pt idx="289">
                  <c:v>3.9789849523850285E-2</c:v>
                </c:pt>
                <c:pt idx="290">
                  <c:v>3.9576890356486497E-2</c:v>
                </c:pt>
                <c:pt idx="291">
                  <c:v>3.9363931189122708E-2</c:v>
                </c:pt>
                <c:pt idx="292">
                  <c:v>3.915097202175892E-2</c:v>
                </c:pt>
                <c:pt idx="293">
                  <c:v>3.8938012854395132E-2</c:v>
                </c:pt>
                <c:pt idx="294">
                  <c:v>3.8725053687031344E-2</c:v>
                </c:pt>
                <c:pt idx="295">
                  <c:v>3.8512094519667556E-2</c:v>
                </c:pt>
                <c:pt idx="296">
                  <c:v>3.8299135352303768E-2</c:v>
                </c:pt>
                <c:pt idx="297">
                  <c:v>3.8086176184939979E-2</c:v>
                </c:pt>
                <c:pt idx="298">
                  <c:v>3.7873217017576191E-2</c:v>
                </c:pt>
                <c:pt idx="299">
                  <c:v>3.7660257850212403E-2</c:v>
                </c:pt>
                <c:pt idx="300">
                  <c:v>3.7447298682848615E-2</c:v>
                </c:pt>
                <c:pt idx="301">
                  <c:v>3.7234339515484827E-2</c:v>
                </c:pt>
                <c:pt idx="302">
                  <c:v>3.7021380348121039E-2</c:v>
                </c:pt>
                <c:pt idx="303">
                  <c:v>3.680842118075725E-2</c:v>
                </c:pt>
                <c:pt idx="304">
                  <c:v>3.6595462013393462E-2</c:v>
                </c:pt>
                <c:pt idx="305">
                  <c:v>3.6382502846029674E-2</c:v>
                </c:pt>
                <c:pt idx="306">
                  <c:v>3.6169543678665886E-2</c:v>
                </c:pt>
                <c:pt idx="307">
                  <c:v>3.5956584511302098E-2</c:v>
                </c:pt>
                <c:pt idx="308">
                  <c:v>3.5743625343938309E-2</c:v>
                </c:pt>
                <c:pt idx="309">
                  <c:v>3.5530666176574521E-2</c:v>
                </c:pt>
                <c:pt idx="310">
                  <c:v>3.5317707009210733E-2</c:v>
                </c:pt>
                <c:pt idx="311">
                  <c:v>3.5104747841846945E-2</c:v>
                </c:pt>
                <c:pt idx="312">
                  <c:v>3.4891788674483157E-2</c:v>
                </c:pt>
                <c:pt idx="313">
                  <c:v>3.4678829507119369E-2</c:v>
                </c:pt>
                <c:pt idx="314">
                  <c:v>3.446587033975558E-2</c:v>
                </c:pt>
                <c:pt idx="315">
                  <c:v>3.4252911172391792E-2</c:v>
                </c:pt>
                <c:pt idx="316">
                  <c:v>3.4039952005028004E-2</c:v>
                </c:pt>
                <c:pt idx="317">
                  <c:v>3.3826992837664216E-2</c:v>
                </c:pt>
                <c:pt idx="318">
                  <c:v>3.3614033670300428E-2</c:v>
                </c:pt>
                <c:pt idx="319">
                  <c:v>3.340107450293664E-2</c:v>
                </c:pt>
                <c:pt idx="320">
                  <c:v>3.3188115335572851E-2</c:v>
                </c:pt>
                <c:pt idx="321">
                  <c:v>3.2975156168209063E-2</c:v>
                </c:pt>
                <c:pt idx="322">
                  <c:v>3.2762197000845275E-2</c:v>
                </c:pt>
                <c:pt idx="323">
                  <c:v>3.2549237833481487E-2</c:v>
                </c:pt>
                <c:pt idx="324">
                  <c:v>3.2336278666117699E-2</c:v>
                </c:pt>
                <c:pt idx="325">
                  <c:v>3.2123319498753911E-2</c:v>
                </c:pt>
                <c:pt idx="326">
                  <c:v>3.1910360331390122E-2</c:v>
                </c:pt>
                <c:pt idx="327">
                  <c:v>3.1697401164026334E-2</c:v>
                </c:pt>
                <c:pt idx="328">
                  <c:v>3.1484441996662546E-2</c:v>
                </c:pt>
                <c:pt idx="329">
                  <c:v>3.1271482829298758E-2</c:v>
                </c:pt>
                <c:pt idx="330">
                  <c:v>3.1058523661934973E-2</c:v>
                </c:pt>
                <c:pt idx="331">
                  <c:v>3.0845564494571188E-2</c:v>
                </c:pt>
                <c:pt idx="332">
                  <c:v>3.0632605327207404E-2</c:v>
                </c:pt>
                <c:pt idx="333">
                  <c:v>3.0419646159843619E-2</c:v>
                </c:pt>
                <c:pt idx="334">
                  <c:v>3.0206686992479834E-2</c:v>
                </c:pt>
                <c:pt idx="335">
                  <c:v>2.999372782511605E-2</c:v>
                </c:pt>
                <c:pt idx="336">
                  <c:v>2.9780768657752265E-2</c:v>
                </c:pt>
                <c:pt idx="337">
                  <c:v>2.956780949038848E-2</c:v>
                </c:pt>
                <c:pt idx="338">
                  <c:v>2.9354850323024696E-2</c:v>
                </c:pt>
                <c:pt idx="339">
                  <c:v>2.9141891155660911E-2</c:v>
                </c:pt>
                <c:pt idx="340">
                  <c:v>2.8928931988297126E-2</c:v>
                </c:pt>
                <c:pt idx="341">
                  <c:v>2.8715972820933341E-2</c:v>
                </c:pt>
                <c:pt idx="342">
                  <c:v>2.8503013653569557E-2</c:v>
                </c:pt>
                <c:pt idx="343">
                  <c:v>2.8290054486205772E-2</c:v>
                </c:pt>
                <c:pt idx="344">
                  <c:v>2.8077095318841987E-2</c:v>
                </c:pt>
                <c:pt idx="345">
                  <c:v>2.7864136151478203E-2</c:v>
                </c:pt>
                <c:pt idx="346">
                  <c:v>2.7651176984114418E-2</c:v>
                </c:pt>
                <c:pt idx="347">
                  <c:v>2.7438217816750633E-2</c:v>
                </c:pt>
                <c:pt idx="348">
                  <c:v>2.7225258649386849E-2</c:v>
                </c:pt>
                <c:pt idx="349">
                  <c:v>2.7012299482023064E-2</c:v>
                </c:pt>
                <c:pt idx="350">
                  <c:v>2.6799340314659279E-2</c:v>
                </c:pt>
                <c:pt idx="351">
                  <c:v>2.6586381147295494E-2</c:v>
                </c:pt>
                <c:pt idx="352">
                  <c:v>2.637342197993171E-2</c:v>
                </c:pt>
                <c:pt idx="353">
                  <c:v>2.6160462812567925E-2</c:v>
                </c:pt>
                <c:pt idx="354">
                  <c:v>2.594750364520414E-2</c:v>
                </c:pt>
                <c:pt idx="355">
                  <c:v>2.5734544477840356E-2</c:v>
                </c:pt>
                <c:pt idx="356">
                  <c:v>2.5521585310476571E-2</c:v>
                </c:pt>
                <c:pt idx="357">
                  <c:v>2.5308626143112786E-2</c:v>
                </c:pt>
                <c:pt idx="358">
                  <c:v>2.5095666975749002E-2</c:v>
                </c:pt>
                <c:pt idx="359">
                  <c:v>2.4882707808385217E-2</c:v>
                </c:pt>
                <c:pt idx="360">
                  <c:v>2.4669748641021432E-2</c:v>
                </c:pt>
                <c:pt idx="361">
                  <c:v>2.4456789473657647E-2</c:v>
                </c:pt>
                <c:pt idx="362">
                  <c:v>2.4243830306293863E-2</c:v>
                </c:pt>
                <c:pt idx="363">
                  <c:v>2.4030871138930078E-2</c:v>
                </c:pt>
                <c:pt idx="364">
                  <c:v>2.3817911971566293E-2</c:v>
                </c:pt>
                <c:pt idx="365">
                  <c:v>2.3604952804202509E-2</c:v>
                </c:pt>
                <c:pt idx="366">
                  <c:v>2.3391993636838724E-2</c:v>
                </c:pt>
                <c:pt idx="367">
                  <c:v>2.3179034469474939E-2</c:v>
                </c:pt>
                <c:pt idx="368">
                  <c:v>2.2966075302111155E-2</c:v>
                </c:pt>
                <c:pt idx="369">
                  <c:v>2.275311613474737E-2</c:v>
                </c:pt>
                <c:pt idx="370">
                  <c:v>2.2540156967383585E-2</c:v>
                </c:pt>
                <c:pt idx="371">
                  <c:v>2.23271978000198E-2</c:v>
                </c:pt>
                <c:pt idx="372">
                  <c:v>2.2114238632656016E-2</c:v>
                </c:pt>
                <c:pt idx="373">
                  <c:v>2.1901279465292231E-2</c:v>
                </c:pt>
                <c:pt idx="374">
                  <c:v>2.1688320297928446E-2</c:v>
                </c:pt>
                <c:pt idx="375">
                  <c:v>2.1475361130564662E-2</c:v>
                </c:pt>
                <c:pt idx="376">
                  <c:v>2.1262401963200877E-2</c:v>
                </c:pt>
                <c:pt idx="377">
                  <c:v>2.1049442795837092E-2</c:v>
                </c:pt>
                <c:pt idx="378">
                  <c:v>2.0836483628473308E-2</c:v>
                </c:pt>
                <c:pt idx="379">
                  <c:v>2.0623524461109523E-2</c:v>
                </c:pt>
                <c:pt idx="380">
                  <c:v>2.0410565293745738E-2</c:v>
                </c:pt>
                <c:pt idx="381">
                  <c:v>2.0197606126381953E-2</c:v>
                </c:pt>
                <c:pt idx="382">
                  <c:v>1.9984646959018169E-2</c:v>
                </c:pt>
                <c:pt idx="383">
                  <c:v>1.9771687791654384E-2</c:v>
                </c:pt>
                <c:pt idx="384">
                  <c:v>1.9558728624290599E-2</c:v>
                </c:pt>
                <c:pt idx="385">
                  <c:v>1.9345769456926815E-2</c:v>
                </c:pt>
                <c:pt idx="386">
                  <c:v>1.913281028956303E-2</c:v>
                </c:pt>
                <c:pt idx="387">
                  <c:v>1.8919851122199245E-2</c:v>
                </c:pt>
                <c:pt idx="388">
                  <c:v>1.870689195483546E-2</c:v>
                </c:pt>
                <c:pt idx="389">
                  <c:v>1.8493932787471676E-2</c:v>
                </c:pt>
                <c:pt idx="390">
                  <c:v>1.8280973620107891E-2</c:v>
                </c:pt>
                <c:pt idx="391">
                  <c:v>1.8068014452744106E-2</c:v>
                </c:pt>
                <c:pt idx="392">
                  <c:v>1.7855055285380322E-2</c:v>
                </c:pt>
                <c:pt idx="393">
                  <c:v>1.7642096118016537E-2</c:v>
                </c:pt>
                <c:pt idx="394">
                  <c:v>1.7429136950652752E-2</c:v>
                </c:pt>
                <c:pt idx="395">
                  <c:v>1.7216177783288968E-2</c:v>
                </c:pt>
                <c:pt idx="396">
                  <c:v>1.7003218615925183E-2</c:v>
                </c:pt>
                <c:pt idx="397">
                  <c:v>1.6790259448561398E-2</c:v>
                </c:pt>
                <c:pt idx="398">
                  <c:v>1.6577300281197613E-2</c:v>
                </c:pt>
                <c:pt idx="399">
                  <c:v>1.6364341113833829E-2</c:v>
                </c:pt>
                <c:pt idx="400">
                  <c:v>1.6151381946470044E-2</c:v>
                </c:pt>
              </c:numCache>
            </c:numRef>
          </c:xVal>
          <c:yVal>
            <c:numRef>
              <c:f>RobotMotion!$M$2:$M$402</c:f>
              <c:numCache>
                <c:formatCode>0.0000_ </c:formatCode>
                <c:ptCount val="401"/>
                <c:pt idx="0">
                  <c:v>0</c:v>
                </c:pt>
                <c:pt idx="1">
                  <c:v>3.1561255328559167E-6</c:v>
                </c:pt>
                <c:pt idx="2">
                  <c:v>2.8405081946284715E-5</c:v>
                </c:pt>
                <c:pt idx="3">
                  <c:v>8.0644170113778609E-5</c:v>
                </c:pt>
                <c:pt idx="4">
                  <c:v>1.3288325828127252E-4</c:v>
                </c:pt>
                <c:pt idx="5">
                  <c:v>1.8512234644876642E-4</c:v>
                </c:pt>
                <c:pt idx="6">
                  <c:v>2.3736143461626033E-4</c:v>
                </c:pt>
                <c:pt idx="7">
                  <c:v>2.8960052278375421E-4</c:v>
                </c:pt>
                <c:pt idx="8">
                  <c:v>3.4183961095124812E-4</c:v>
                </c:pt>
                <c:pt idx="9">
                  <c:v>3.9407869911874203E-4</c:v>
                </c:pt>
                <c:pt idx="10">
                  <c:v>4.4631778728623594E-4</c:v>
                </c:pt>
                <c:pt idx="11">
                  <c:v>4.9855687545372984E-4</c:v>
                </c:pt>
                <c:pt idx="12">
                  <c:v>5.507959636212237E-4</c:v>
                </c:pt>
                <c:pt idx="13">
                  <c:v>6.0303505178871755E-4</c:v>
                </c:pt>
                <c:pt idx="14">
                  <c:v>6.552741399562114E-4</c:v>
                </c:pt>
                <c:pt idx="15">
                  <c:v>7.0751322812370526E-4</c:v>
                </c:pt>
                <c:pt idx="16">
                  <c:v>7.5975231629119911E-4</c:v>
                </c:pt>
                <c:pt idx="17">
                  <c:v>8.1199140445869296E-4</c:v>
                </c:pt>
                <c:pt idx="18">
                  <c:v>8.6423049262618682E-4</c:v>
                </c:pt>
                <c:pt idx="19">
                  <c:v>9.1646958079368067E-4</c:v>
                </c:pt>
                <c:pt idx="20">
                  <c:v>9.6870866896117452E-4</c:v>
                </c:pt>
                <c:pt idx="21">
                  <c:v>9.1124587525382166E-4</c:v>
                </c:pt>
                <c:pt idx="22">
                  <c:v>6.283722261997231E-4</c:v>
                </c:pt>
                <c:pt idx="23">
                  <c:v>4.1545470596298295E-5</c:v>
                </c:pt>
                <c:pt idx="24">
                  <c:v>-8.6938638121747684E-4</c:v>
                </c:pt>
                <c:pt idx="25">
                  <c:v>-2.1019380096242773E-3</c:v>
                </c:pt>
                <c:pt idx="26">
                  <c:v>-3.6527466112098342E-3</c:v>
                </c:pt>
                <c:pt idx="27">
                  <c:v>-5.5175810735889966E-3</c:v>
                </c:pt>
                <c:pt idx="28">
                  <c:v>-7.6913535192622718E-3</c:v>
                </c:pt>
                <c:pt idx="29">
                  <c:v>-1.0168133187007428E-2</c:v>
                </c:pt>
                <c:pt idx="30">
                  <c:v>-1.2941162612933195E-2</c:v>
                </c:pt>
                <c:pt idx="31">
                  <c:v>-1.600287606704786E-2</c:v>
                </c:pt>
                <c:pt idx="32">
                  <c:v>-1.9344920195041779E-2</c:v>
                </c:pt>
                <c:pt idx="33">
                  <c:v>-2.2958176808966287E-2</c:v>
                </c:pt>
                <c:pt idx="34">
                  <c:v>-2.6832787764628552E-2</c:v>
                </c:pt>
                <c:pt idx="35">
                  <c:v>-3.0958181857828792E-2</c:v>
                </c:pt>
                <c:pt idx="36">
                  <c:v>-3.5323103666058051E-2</c:v>
                </c:pt>
                <c:pt idx="37">
                  <c:v>-3.9915644256967024E-2</c:v>
                </c:pt>
                <c:pt idx="38">
                  <c:v>-4.4723273679823143E-2</c:v>
                </c:pt>
                <c:pt idx="39">
                  <c:v>-4.9732875151308684E-2</c:v>
                </c:pt>
                <c:pt idx="40">
                  <c:v>-5.4930780842389816E-2</c:v>
                </c:pt>
                <c:pt idx="41">
                  <c:v>-6.030280916861834E-2</c:v>
                </c:pt>
                <c:pt idx="42">
                  <c:v>-6.5834303482126016E-2</c:v>
                </c:pt>
                <c:pt idx="43">
                  <c:v>-7.1510172059747037E-2</c:v>
                </c:pt>
                <c:pt idx="44">
                  <c:v>-7.7314929278168049E-2</c:v>
                </c:pt>
                <c:pt idx="45">
                  <c:v>-8.3232737863766421E-2</c:v>
                </c:pt>
                <c:pt idx="46">
                  <c:v>-8.9247452101865382E-2</c:v>
                </c:pt>
                <c:pt idx="47">
                  <c:v>-9.5342661887517138E-2</c:v>
                </c:pt>
                <c:pt idx="48">
                  <c:v>-0.10150173749762899</c:v>
                </c:pt>
                <c:pt idx="49">
                  <c:v>-0.10770787496227943</c:v>
                </c:pt>
                <c:pt idx="50">
                  <c:v>-0.11394414191143663</c:v>
                </c:pt>
                <c:pt idx="51">
                  <c:v>-0.1201935237719942</c:v>
                </c:pt>
                <c:pt idx="52">
                  <c:v>-0.1264389701890839</c:v>
                </c:pt>
                <c:pt idx="53">
                  <c:v>-0.13266344154501267</c:v>
                </c:pt>
                <c:pt idx="54">
                  <c:v>-0.13884995544890508</c:v>
                </c:pt>
                <c:pt idx="55">
                  <c:v>-0.14498163307021242</c:v>
                </c:pt>
                <c:pt idx="56">
                  <c:v>-0.15104174518967531</c:v>
                </c:pt>
                <c:pt idx="57">
                  <c:v>-0.15701375784209787</c:v>
                </c:pt>
                <c:pt idx="58">
                  <c:v>-0.1628813774264051</c:v>
                </c:pt>
                <c:pt idx="59">
                  <c:v>-0.1686285951599083</c:v>
                </c:pt>
                <c:pt idx="60">
                  <c:v>-0.17423973075549307</c:v>
                </c:pt>
                <c:pt idx="61">
                  <c:v>-0.17969947520256391</c:v>
                </c:pt>
                <c:pt idx="62">
                  <c:v>-0.18499293253502538</c:v>
                </c:pt>
                <c:pt idx="63">
                  <c:v>-0.19010566047234281</c:v>
                </c:pt>
                <c:pt idx="64">
                  <c:v>-0.19502370982280079</c:v>
                </c:pt>
                <c:pt idx="65">
                  <c:v>-0.19973366254145405</c:v>
                </c:pt>
                <c:pt idx="66">
                  <c:v>-0.20422266833893682</c:v>
                </c:pt>
                <c:pt idx="67">
                  <c:v>-0.20847847974124917</c:v>
                </c:pt>
                <c:pt idx="68">
                  <c:v>-0.21248948550486643</c:v>
                </c:pt>
                <c:pt idx="69">
                  <c:v>-0.21624474229600391</c:v>
                </c:pt>
                <c:pt idx="70">
                  <c:v>-0.21973400454760567</c:v>
                </c:pt>
                <c:pt idx="71">
                  <c:v>-0.22294775241259795</c:v>
                </c:pt>
                <c:pt idx="72">
                  <c:v>-0.22587721773714128</c:v>
                </c:pt>
                <c:pt idx="73">
                  <c:v>-0.22851440798301792</c:v>
                </c:pt>
                <c:pt idx="74">
                  <c:v>-0.23085212803388666</c:v>
                </c:pt>
                <c:pt idx="75">
                  <c:v>-0.23288399982591029</c:v>
                </c:pt>
                <c:pt idx="76">
                  <c:v>-0.23460447974919685</c:v>
                </c:pt>
                <c:pt idx="77">
                  <c:v>-0.23600887377257809</c:v>
                </c:pt>
                <c:pt idx="78">
                  <c:v>-0.23709335025045969</c:v>
                </c:pt>
                <c:pt idx="79">
                  <c:v>-0.23785495037680179</c:v>
                </c:pt>
                <c:pt idx="80">
                  <c:v>-0.2382915962577084</c:v>
                </c:pt>
                <c:pt idx="81">
                  <c:v>-0.23840209658060058</c:v>
                </c:pt>
                <c:pt idx="82">
                  <c:v>-0.2381861498645062</c:v>
                </c:pt>
                <c:pt idx="83">
                  <c:v>-0.23764434528259859</c:v>
                </c:pt>
                <c:pt idx="84">
                  <c:v>-0.23677816105473964</c:v>
                </c:pt>
                <c:pt idx="85">
                  <c:v>-0.23558996041441319</c:v>
                </c:pt>
                <c:pt idx="86">
                  <c:v>-0.23408298516105225</c:v>
                </c:pt>
                <c:pt idx="87">
                  <c:v>-0.23226134681535132</c:v>
                </c:pt>
                <c:pt idx="88">
                  <c:v>-0.230130015401695</c:v>
                </c:pt>
                <c:pt idx="89">
                  <c:v>-0.22769480588830826</c:v>
                </c:pt>
                <c:pt idx="90">
                  <c:v>-0.22496236232212374</c:v>
                </c:pt>
                <c:pt idx="91">
                  <c:v>-0.22194013970165177</c:v>
                </c:pt>
                <c:pt idx="92">
                  <c:v>-0.21863638363730947</c:v>
                </c:pt>
                <c:pt idx="93">
                  <c:v>-0.21506010785470234</c:v>
                </c:pt>
                <c:pt idx="94">
                  <c:v>-0.2112210696022368</c:v>
                </c:pt>
                <c:pt idx="95">
                  <c:v>-0.20712974303015966</c:v>
                </c:pt>
                <c:pt idx="96">
                  <c:v>-0.20279729061365526</c:v>
                </c:pt>
                <c:pt idx="97">
                  <c:v>-0.1982355326979672</c:v>
                </c:pt>
                <c:pt idx="98">
                  <c:v>-0.19345691524863595</c:v>
                </c:pt>
                <c:pt idx="99">
                  <c:v>-0.18847447589483965</c:v>
                </c:pt>
                <c:pt idx="100">
                  <c:v>-0.18330180835848345</c:v>
                </c:pt>
                <c:pt idx="101">
                  <c:v>-0.17795302536608629</c:v>
                </c:pt>
                <c:pt idx="102">
                  <c:v>-0.17244272014465337</c:v>
                </c:pt>
                <c:pt idx="103">
                  <c:v>-0.16678592660658662</c:v>
                </c:pt>
                <c:pt idx="104">
                  <c:v>-0.16099807833226126</c:v>
                </c:pt>
                <c:pt idx="105">
                  <c:v>-0.15509496646217769</c:v>
                </c:pt>
                <c:pt idx="106">
                  <c:v>-0.14909269661357255</c:v>
                </c:pt>
                <c:pt idx="107">
                  <c:v>-0.14300764493903456</c:v>
                </c:pt>
                <c:pt idx="108">
                  <c:v>-0.13685641344701152</c:v>
                </c:pt>
                <c:pt idx="109">
                  <c:v>-0.13065578470610872</c:v>
                </c:pt>
                <c:pt idx="110">
                  <c:v>-0.1244226760567604</c:v>
                </c:pt>
                <c:pt idx="111">
                  <c:v>-0.11630247107404959</c:v>
                </c:pt>
                <c:pt idx="112">
                  <c:v>-0.10630473891155215</c:v>
                </c:pt>
                <c:pt idx="113">
                  <c:v>-9.6307006749054708E-2</c:v>
                </c:pt>
                <c:pt idx="114">
                  <c:v>-8.6309274586557266E-2</c:v>
                </c:pt>
                <c:pt idx="115">
                  <c:v>-7.6311542424059825E-2</c:v>
                </c:pt>
                <c:pt idx="116">
                  <c:v>-6.6313810261562384E-2</c:v>
                </c:pt>
                <c:pt idx="117">
                  <c:v>-5.6316078099064942E-2</c:v>
                </c:pt>
                <c:pt idx="118">
                  <c:v>-4.6318345936567501E-2</c:v>
                </c:pt>
                <c:pt idx="119">
                  <c:v>-3.632061377407006E-2</c:v>
                </c:pt>
                <c:pt idx="120">
                  <c:v>-2.6322881611572618E-2</c:v>
                </c:pt>
                <c:pt idx="121">
                  <c:v>-1.6325149449075177E-2</c:v>
                </c:pt>
                <c:pt idx="122">
                  <c:v>-6.3274172865777356E-3</c:v>
                </c:pt>
                <c:pt idx="123">
                  <c:v>3.6703148759197057E-3</c:v>
                </c:pt>
                <c:pt idx="124">
                  <c:v>1.3668047038417147E-2</c:v>
                </c:pt>
                <c:pt idx="125">
                  <c:v>2.3665779200914588E-2</c:v>
                </c:pt>
                <c:pt idx="126">
                  <c:v>3.366351136341203E-2</c:v>
                </c:pt>
                <c:pt idx="127">
                  <c:v>4.3661243525909471E-2</c:v>
                </c:pt>
                <c:pt idx="128">
                  <c:v>5.3658975688406912E-2</c:v>
                </c:pt>
                <c:pt idx="129">
                  <c:v>6.3656707850904354E-2</c:v>
                </c:pt>
                <c:pt idx="130">
                  <c:v>7.3654440013401795E-2</c:v>
                </c:pt>
                <c:pt idx="131">
                  <c:v>8.3652172175899236E-2</c:v>
                </c:pt>
                <c:pt idx="132">
                  <c:v>9.3649904338396678E-2</c:v>
                </c:pt>
                <c:pt idx="133">
                  <c:v>0.10364763650089412</c:v>
                </c:pt>
                <c:pt idx="134">
                  <c:v>0.11364536866339156</c:v>
                </c:pt>
                <c:pt idx="135">
                  <c:v>0.123643100825889</c:v>
                </c:pt>
                <c:pt idx="136">
                  <c:v>0.13364083298838644</c:v>
                </c:pt>
                <c:pt idx="137">
                  <c:v>0.14363856515088388</c:v>
                </c:pt>
                <c:pt idx="138">
                  <c:v>0.15363629731338133</c:v>
                </c:pt>
                <c:pt idx="139">
                  <c:v>0.16363402947587877</c:v>
                </c:pt>
                <c:pt idx="140">
                  <c:v>0.17363176163837621</c:v>
                </c:pt>
                <c:pt idx="141">
                  <c:v>0.18362949380087365</c:v>
                </c:pt>
                <c:pt idx="142">
                  <c:v>0.19362722596337109</c:v>
                </c:pt>
                <c:pt idx="143">
                  <c:v>0.20362495812586853</c:v>
                </c:pt>
                <c:pt idx="144">
                  <c:v>0.21362269028836597</c:v>
                </c:pt>
                <c:pt idx="145">
                  <c:v>0.22362042245086342</c:v>
                </c:pt>
                <c:pt idx="146">
                  <c:v>0.23361815461336086</c:v>
                </c:pt>
                <c:pt idx="147">
                  <c:v>0.2436158867758583</c:v>
                </c:pt>
                <c:pt idx="148">
                  <c:v>0.25361361893835577</c:v>
                </c:pt>
                <c:pt idx="149">
                  <c:v>0.26361135110085321</c:v>
                </c:pt>
                <c:pt idx="150">
                  <c:v>0.27360908326335065</c:v>
                </c:pt>
                <c:pt idx="151">
                  <c:v>0.28360681542584809</c:v>
                </c:pt>
                <c:pt idx="152">
                  <c:v>0.29360454758834553</c:v>
                </c:pt>
                <c:pt idx="153">
                  <c:v>0.30360227975084297</c:v>
                </c:pt>
                <c:pt idx="154">
                  <c:v>0.31360001191334042</c:v>
                </c:pt>
                <c:pt idx="155">
                  <c:v>0.32359774407583786</c:v>
                </c:pt>
                <c:pt idx="156">
                  <c:v>0.3335954762383353</c:v>
                </c:pt>
                <c:pt idx="157">
                  <c:v>0.34359320840083274</c:v>
                </c:pt>
                <c:pt idx="158">
                  <c:v>0.35359094056333018</c:v>
                </c:pt>
                <c:pt idx="159">
                  <c:v>0.36358867272582762</c:v>
                </c:pt>
                <c:pt idx="160">
                  <c:v>0.37358640488832506</c:v>
                </c:pt>
                <c:pt idx="161">
                  <c:v>0.3835841370508225</c:v>
                </c:pt>
                <c:pt idx="162">
                  <c:v>0.39358186921331995</c:v>
                </c:pt>
                <c:pt idx="163">
                  <c:v>0.40357960137581739</c:v>
                </c:pt>
                <c:pt idx="164">
                  <c:v>0.41357733353831483</c:v>
                </c:pt>
                <c:pt idx="165">
                  <c:v>0.42357506570081227</c:v>
                </c:pt>
                <c:pt idx="166">
                  <c:v>0.43357279786330971</c:v>
                </c:pt>
                <c:pt idx="167">
                  <c:v>0.44357053002580715</c:v>
                </c:pt>
                <c:pt idx="168">
                  <c:v>0.45356826218830459</c:v>
                </c:pt>
                <c:pt idx="169">
                  <c:v>0.46356599435080204</c:v>
                </c:pt>
                <c:pt idx="170">
                  <c:v>0.47356372651329948</c:v>
                </c:pt>
                <c:pt idx="171">
                  <c:v>0.48356145867579692</c:v>
                </c:pt>
                <c:pt idx="172">
                  <c:v>0.49355919083829436</c:v>
                </c:pt>
                <c:pt idx="173">
                  <c:v>0.5035569230007918</c:v>
                </c:pt>
                <c:pt idx="174">
                  <c:v>0.51355465516328924</c:v>
                </c:pt>
                <c:pt idx="175">
                  <c:v>0.52355238732578668</c:v>
                </c:pt>
                <c:pt idx="176">
                  <c:v>0.53355011948828412</c:v>
                </c:pt>
                <c:pt idx="177">
                  <c:v>0.54354785165078157</c:v>
                </c:pt>
                <c:pt idx="178">
                  <c:v>0.55354558381327901</c:v>
                </c:pt>
                <c:pt idx="179">
                  <c:v>0.56354331597577645</c:v>
                </c:pt>
                <c:pt idx="180">
                  <c:v>0.57354104813827389</c:v>
                </c:pt>
                <c:pt idx="181">
                  <c:v>0.58353878030077133</c:v>
                </c:pt>
                <c:pt idx="182">
                  <c:v>0.59353651246326877</c:v>
                </c:pt>
                <c:pt idx="183">
                  <c:v>0.60353424462576621</c:v>
                </c:pt>
                <c:pt idx="184">
                  <c:v>0.61353197678826366</c:v>
                </c:pt>
                <c:pt idx="185">
                  <c:v>0.6235297089507611</c:v>
                </c:pt>
                <c:pt idx="186">
                  <c:v>0.63352744111325854</c:v>
                </c:pt>
                <c:pt idx="187">
                  <c:v>0.64352517327575598</c:v>
                </c:pt>
                <c:pt idx="188">
                  <c:v>0.65352290543825342</c:v>
                </c:pt>
                <c:pt idx="189">
                  <c:v>0.66352063760075086</c:v>
                </c:pt>
                <c:pt idx="190">
                  <c:v>0.6735183697632483</c:v>
                </c:pt>
                <c:pt idx="191">
                  <c:v>0.68351610192574574</c:v>
                </c:pt>
                <c:pt idx="192">
                  <c:v>0.69351383408824319</c:v>
                </c:pt>
                <c:pt idx="193">
                  <c:v>0.70351156625074063</c:v>
                </c:pt>
                <c:pt idx="194">
                  <c:v>0.71350929841323807</c:v>
                </c:pt>
                <c:pt idx="195">
                  <c:v>0.72350703057573551</c:v>
                </c:pt>
                <c:pt idx="196">
                  <c:v>0.73350476273823295</c:v>
                </c:pt>
                <c:pt idx="197">
                  <c:v>0.74350249490073039</c:v>
                </c:pt>
                <c:pt idx="198">
                  <c:v>0.75350022706322783</c:v>
                </c:pt>
                <c:pt idx="199">
                  <c:v>0.76349795922572528</c:v>
                </c:pt>
                <c:pt idx="200">
                  <c:v>0.77349569138822272</c:v>
                </c:pt>
                <c:pt idx="201">
                  <c:v>0.78349342355072016</c:v>
                </c:pt>
                <c:pt idx="202">
                  <c:v>0.7934911557132176</c:v>
                </c:pt>
                <c:pt idx="203">
                  <c:v>0.80348888787571504</c:v>
                </c:pt>
                <c:pt idx="204">
                  <c:v>0.81348662003821248</c:v>
                </c:pt>
                <c:pt idx="205">
                  <c:v>0.82348435220070992</c:v>
                </c:pt>
                <c:pt idx="206">
                  <c:v>0.83348208436320737</c:v>
                </c:pt>
                <c:pt idx="207">
                  <c:v>0.84347981652570481</c:v>
                </c:pt>
                <c:pt idx="208">
                  <c:v>0.85347754868820225</c:v>
                </c:pt>
                <c:pt idx="209">
                  <c:v>0.86347528085069969</c:v>
                </c:pt>
                <c:pt idx="210">
                  <c:v>0.87347301301319713</c:v>
                </c:pt>
                <c:pt idx="211">
                  <c:v>0.88347074517569457</c:v>
                </c:pt>
                <c:pt idx="212">
                  <c:v>0.89346847733819201</c:v>
                </c:pt>
                <c:pt idx="213">
                  <c:v>0.90346620950068945</c:v>
                </c:pt>
                <c:pt idx="214">
                  <c:v>0.9134639416631869</c:v>
                </c:pt>
                <c:pt idx="215">
                  <c:v>0.92346167382568434</c:v>
                </c:pt>
                <c:pt idx="216">
                  <c:v>0.93345940598818178</c:v>
                </c:pt>
                <c:pt idx="217">
                  <c:v>0.94345713815067922</c:v>
                </c:pt>
                <c:pt idx="218">
                  <c:v>0.95345487031317666</c:v>
                </c:pt>
                <c:pt idx="219">
                  <c:v>0.9634526024756741</c:v>
                </c:pt>
                <c:pt idx="220">
                  <c:v>0.97345033463817154</c:v>
                </c:pt>
                <c:pt idx="221">
                  <c:v>0.98344806680066899</c:v>
                </c:pt>
                <c:pt idx="222">
                  <c:v>0.99344579896316643</c:v>
                </c:pt>
                <c:pt idx="223">
                  <c:v>1.0034435311256638</c:v>
                </c:pt>
                <c:pt idx="224">
                  <c:v>1.0134412632881613</c:v>
                </c:pt>
                <c:pt idx="225">
                  <c:v>1.0234389954506589</c:v>
                </c:pt>
                <c:pt idx="226">
                  <c:v>1.0334367276131564</c:v>
                </c:pt>
                <c:pt idx="227">
                  <c:v>1.043434459775654</c:v>
                </c:pt>
                <c:pt idx="228">
                  <c:v>1.0534321919381515</c:v>
                </c:pt>
                <c:pt idx="229">
                  <c:v>1.0634299241006491</c:v>
                </c:pt>
                <c:pt idx="230">
                  <c:v>1.0734276562631466</c:v>
                </c:pt>
                <c:pt idx="231">
                  <c:v>1.0834253884256442</c:v>
                </c:pt>
                <c:pt idx="232">
                  <c:v>1.0934231205881417</c:v>
                </c:pt>
                <c:pt idx="233">
                  <c:v>1.1034208527506393</c:v>
                </c:pt>
                <c:pt idx="234">
                  <c:v>1.1134185849131368</c:v>
                </c:pt>
                <c:pt idx="235">
                  <c:v>1.1234163170756344</c:v>
                </c:pt>
                <c:pt idx="236">
                  <c:v>1.1334140492381319</c:v>
                </c:pt>
                <c:pt idx="237">
                  <c:v>1.1434117814006295</c:v>
                </c:pt>
                <c:pt idx="238">
                  <c:v>1.153409513563127</c:v>
                </c:pt>
                <c:pt idx="239">
                  <c:v>1.1634072457256246</c:v>
                </c:pt>
                <c:pt idx="240">
                  <c:v>1.1734049778881221</c:v>
                </c:pt>
                <c:pt idx="241">
                  <c:v>1.1834027100506197</c:v>
                </c:pt>
                <c:pt idx="242">
                  <c:v>1.1934004422131173</c:v>
                </c:pt>
                <c:pt idx="243">
                  <c:v>1.2033981743756148</c:v>
                </c:pt>
                <c:pt idx="244">
                  <c:v>1.2133959065381124</c:v>
                </c:pt>
                <c:pt idx="245">
                  <c:v>1.2233936387006099</c:v>
                </c:pt>
                <c:pt idx="246">
                  <c:v>1.2333913708631075</c:v>
                </c:pt>
                <c:pt idx="247">
                  <c:v>1.243389103025605</c:v>
                </c:pt>
                <c:pt idx="248">
                  <c:v>1.2533868351881026</c:v>
                </c:pt>
                <c:pt idx="249">
                  <c:v>1.2633845673506001</c:v>
                </c:pt>
                <c:pt idx="250">
                  <c:v>1.2733822995130977</c:v>
                </c:pt>
                <c:pt idx="251">
                  <c:v>1.2833800316755952</c:v>
                </c:pt>
                <c:pt idx="252">
                  <c:v>1.2933777638380928</c:v>
                </c:pt>
                <c:pt idx="253">
                  <c:v>1.3033754960005903</c:v>
                </c:pt>
                <c:pt idx="254">
                  <c:v>1.3133732281630879</c:v>
                </c:pt>
                <c:pt idx="255">
                  <c:v>1.3233709603255854</c:v>
                </c:pt>
                <c:pt idx="256">
                  <c:v>1.333368692488083</c:v>
                </c:pt>
                <c:pt idx="257">
                  <c:v>1.3433664246505805</c:v>
                </c:pt>
                <c:pt idx="258">
                  <c:v>1.3533641568130781</c:v>
                </c:pt>
                <c:pt idx="259">
                  <c:v>1.3633618889755756</c:v>
                </c:pt>
                <c:pt idx="260">
                  <c:v>1.3733596211380732</c:v>
                </c:pt>
                <c:pt idx="261">
                  <c:v>1.3833573533005707</c:v>
                </c:pt>
                <c:pt idx="262">
                  <c:v>1.3933550854630683</c:v>
                </c:pt>
                <c:pt idx="263">
                  <c:v>1.4033528176255659</c:v>
                </c:pt>
                <c:pt idx="264">
                  <c:v>1.4133505497880634</c:v>
                </c:pt>
                <c:pt idx="265">
                  <c:v>1.423348281950561</c:v>
                </c:pt>
                <c:pt idx="266">
                  <c:v>1.4333460141130585</c:v>
                </c:pt>
                <c:pt idx="267">
                  <c:v>1.4433437462755561</c:v>
                </c:pt>
                <c:pt idx="268">
                  <c:v>1.4533414784380536</c:v>
                </c:pt>
                <c:pt idx="269">
                  <c:v>1.4633392106005512</c:v>
                </c:pt>
                <c:pt idx="270">
                  <c:v>1.4733369427630487</c:v>
                </c:pt>
                <c:pt idx="271">
                  <c:v>1.4833346749255463</c:v>
                </c:pt>
                <c:pt idx="272">
                  <c:v>1.4933324070880438</c:v>
                </c:pt>
                <c:pt idx="273">
                  <c:v>1.5033301392505414</c:v>
                </c:pt>
                <c:pt idx="274">
                  <c:v>1.5133278714130389</c:v>
                </c:pt>
                <c:pt idx="275">
                  <c:v>1.5233256035755365</c:v>
                </c:pt>
                <c:pt idx="276">
                  <c:v>1.533323335738034</c:v>
                </c:pt>
                <c:pt idx="277">
                  <c:v>1.5433210679005316</c:v>
                </c:pt>
                <c:pt idx="278">
                  <c:v>1.5533188000630291</c:v>
                </c:pt>
                <c:pt idx="279">
                  <c:v>1.5633165322255267</c:v>
                </c:pt>
                <c:pt idx="280">
                  <c:v>1.5733142643880242</c:v>
                </c:pt>
                <c:pt idx="281">
                  <c:v>1.5833119965505218</c:v>
                </c:pt>
                <c:pt idx="282">
                  <c:v>1.5933097287130193</c:v>
                </c:pt>
                <c:pt idx="283">
                  <c:v>1.6033074608755169</c:v>
                </c:pt>
                <c:pt idx="284">
                  <c:v>1.6133051930380145</c:v>
                </c:pt>
                <c:pt idx="285">
                  <c:v>1.623302925200512</c:v>
                </c:pt>
                <c:pt idx="286">
                  <c:v>1.6333006573630096</c:v>
                </c:pt>
                <c:pt idx="287">
                  <c:v>1.6432983895255071</c:v>
                </c:pt>
                <c:pt idx="288">
                  <c:v>1.6532961216880047</c:v>
                </c:pt>
                <c:pt idx="289">
                  <c:v>1.6632938538505022</c:v>
                </c:pt>
                <c:pt idx="290">
                  <c:v>1.6732915860129998</c:v>
                </c:pt>
                <c:pt idx="291">
                  <c:v>1.6832893181754973</c:v>
                </c:pt>
                <c:pt idx="292">
                  <c:v>1.6932870503379949</c:v>
                </c:pt>
                <c:pt idx="293">
                  <c:v>1.7032847825004924</c:v>
                </c:pt>
                <c:pt idx="294">
                  <c:v>1.71328251466299</c:v>
                </c:pt>
                <c:pt idx="295">
                  <c:v>1.7232802468254875</c:v>
                </c:pt>
                <c:pt idx="296">
                  <c:v>1.7332779789879851</c:v>
                </c:pt>
                <c:pt idx="297">
                  <c:v>1.7432757111504826</c:v>
                </c:pt>
                <c:pt idx="298">
                  <c:v>1.7532734433129802</c:v>
                </c:pt>
                <c:pt idx="299">
                  <c:v>1.7632711754754777</c:v>
                </c:pt>
                <c:pt idx="300">
                  <c:v>1.7732689076379753</c:v>
                </c:pt>
                <c:pt idx="301">
                  <c:v>1.7832666398004728</c:v>
                </c:pt>
                <c:pt idx="302">
                  <c:v>1.7932643719629704</c:v>
                </c:pt>
                <c:pt idx="303">
                  <c:v>1.8032621041254679</c:v>
                </c:pt>
                <c:pt idx="304">
                  <c:v>1.8132598362879655</c:v>
                </c:pt>
                <c:pt idx="305">
                  <c:v>1.8232575684504631</c:v>
                </c:pt>
                <c:pt idx="306">
                  <c:v>1.8332553006129606</c:v>
                </c:pt>
                <c:pt idx="307">
                  <c:v>1.8432530327754582</c:v>
                </c:pt>
                <c:pt idx="308">
                  <c:v>1.8532507649379557</c:v>
                </c:pt>
                <c:pt idx="309">
                  <c:v>1.8632484971004533</c:v>
                </c:pt>
                <c:pt idx="310">
                  <c:v>1.8732462292629508</c:v>
                </c:pt>
                <c:pt idx="311">
                  <c:v>1.8832439614254484</c:v>
                </c:pt>
                <c:pt idx="312">
                  <c:v>1.8932416935879459</c:v>
                </c:pt>
                <c:pt idx="313">
                  <c:v>1.9032394257504435</c:v>
                </c:pt>
                <c:pt idx="314">
                  <c:v>1.913237157912941</c:v>
                </c:pt>
                <c:pt idx="315">
                  <c:v>1.9232348900754386</c:v>
                </c:pt>
                <c:pt idx="316">
                  <c:v>1.9332326222379361</c:v>
                </c:pt>
                <c:pt idx="317">
                  <c:v>1.9432303544004337</c:v>
                </c:pt>
                <c:pt idx="318">
                  <c:v>1.9532280865629312</c:v>
                </c:pt>
                <c:pt idx="319">
                  <c:v>1.9632258187254288</c:v>
                </c:pt>
                <c:pt idx="320">
                  <c:v>1.9732235508879263</c:v>
                </c:pt>
                <c:pt idx="321">
                  <c:v>1.9832212830504239</c:v>
                </c:pt>
                <c:pt idx="322">
                  <c:v>1.9932190152129214</c:v>
                </c:pt>
                <c:pt idx="323">
                  <c:v>2.003216747375419</c:v>
                </c:pt>
                <c:pt idx="324">
                  <c:v>2.0132144795379165</c:v>
                </c:pt>
                <c:pt idx="325">
                  <c:v>2.0232122117004141</c:v>
                </c:pt>
                <c:pt idx="326">
                  <c:v>2.0332099438629117</c:v>
                </c:pt>
                <c:pt idx="327">
                  <c:v>2.0432076760254092</c:v>
                </c:pt>
                <c:pt idx="328">
                  <c:v>2.0532054081879068</c:v>
                </c:pt>
                <c:pt idx="329">
                  <c:v>2.0632031403504043</c:v>
                </c:pt>
                <c:pt idx="330">
                  <c:v>2.0732008725129019</c:v>
                </c:pt>
                <c:pt idx="331">
                  <c:v>2.0831986046753994</c:v>
                </c:pt>
                <c:pt idx="332">
                  <c:v>2.093196336837897</c:v>
                </c:pt>
                <c:pt idx="333">
                  <c:v>2.1031940690003945</c:v>
                </c:pt>
                <c:pt idx="334">
                  <c:v>2.1131918011628921</c:v>
                </c:pt>
                <c:pt idx="335">
                  <c:v>2.1231895333253896</c:v>
                </c:pt>
                <c:pt idx="336">
                  <c:v>2.1331872654878872</c:v>
                </c:pt>
                <c:pt idx="337">
                  <c:v>2.1431849976503847</c:v>
                </c:pt>
                <c:pt idx="338">
                  <c:v>2.1531827298128823</c:v>
                </c:pt>
                <c:pt idx="339">
                  <c:v>2.1631804619753798</c:v>
                </c:pt>
                <c:pt idx="340">
                  <c:v>2.1731781941378774</c:v>
                </c:pt>
                <c:pt idx="341">
                  <c:v>2.1831759263003749</c:v>
                </c:pt>
                <c:pt idx="342">
                  <c:v>2.1931736584628725</c:v>
                </c:pt>
                <c:pt idx="343">
                  <c:v>2.20317139062537</c:v>
                </c:pt>
                <c:pt idx="344">
                  <c:v>2.2131691227878676</c:v>
                </c:pt>
                <c:pt idx="345">
                  <c:v>2.2231668549503651</c:v>
                </c:pt>
                <c:pt idx="346">
                  <c:v>2.2331645871128627</c:v>
                </c:pt>
                <c:pt idx="347">
                  <c:v>2.2431623192753603</c:v>
                </c:pt>
                <c:pt idx="348">
                  <c:v>2.2531600514378578</c:v>
                </c:pt>
                <c:pt idx="349">
                  <c:v>2.2631577836003554</c:v>
                </c:pt>
                <c:pt idx="350">
                  <c:v>2.2731555157628529</c:v>
                </c:pt>
                <c:pt idx="351">
                  <c:v>2.2831532479253505</c:v>
                </c:pt>
                <c:pt idx="352">
                  <c:v>2.293150980087848</c:v>
                </c:pt>
                <c:pt idx="353">
                  <c:v>2.3031487122503456</c:v>
                </c:pt>
                <c:pt idx="354">
                  <c:v>2.3131464444128431</c:v>
                </c:pt>
                <c:pt idx="355">
                  <c:v>2.3231441765753407</c:v>
                </c:pt>
                <c:pt idx="356">
                  <c:v>2.3331419087378382</c:v>
                </c:pt>
                <c:pt idx="357">
                  <c:v>2.3431396409003358</c:v>
                </c:pt>
                <c:pt idx="358">
                  <c:v>2.3531373730628333</c:v>
                </c:pt>
                <c:pt idx="359">
                  <c:v>2.3631351052253309</c:v>
                </c:pt>
                <c:pt idx="360">
                  <c:v>2.3731328373878284</c:v>
                </c:pt>
                <c:pt idx="361">
                  <c:v>2.383130569550326</c:v>
                </c:pt>
                <c:pt idx="362">
                  <c:v>2.3931283017128235</c:v>
                </c:pt>
                <c:pt idx="363">
                  <c:v>2.4031260338753211</c:v>
                </c:pt>
                <c:pt idx="364">
                  <c:v>2.4131237660378186</c:v>
                </c:pt>
                <c:pt idx="365">
                  <c:v>2.4231214982003162</c:v>
                </c:pt>
                <c:pt idx="366">
                  <c:v>2.4331192303628137</c:v>
                </c:pt>
                <c:pt idx="367">
                  <c:v>2.4431169625253113</c:v>
                </c:pt>
                <c:pt idx="368">
                  <c:v>2.4531146946878088</c:v>
                </c:pt>
                <c:pt idx="369">
                  <c:v>2.4631124268503064</c:v>
                </c:pt>
                <c:pt idx="370">
                  <c:v>2.473110159012804</c:v>
                </c:pt>
                <c:pt idx="371">
                  <c:v>2.4831078911753015</c:v>
                </c:pt>
                <c:pt idx="372">
                  <c:v>2.4931056233377991</c:v>
                </c:pt>
                <c:pt idx="373">
                  <c:v>2.5031033555002966</c:v>
                </c:pt>
                <c:pt idx="374">
                  <c:v>2.5131010876627942</c:v>
                </c:pt>
                <c:pt idx="375">
                  <c:v>2.5230988198252917</c:v>
                </c:pt>
                <c:pt idx="376">
                  <c:v>2.5330965519877893</c:v>
                </c:pt>
                <c:pt idx="377">
                  <c:v>2.5430942841502868</c:v>
                </c:pt>
                <c:pt idx="378">
                  <c:v>2.5530920163127844</c:v>
                </c:pt>
                <c:pt idx="379">
                  <c:v>2.5630897484752819</c:v>
                </c:pt>
                <c:pt idx="380">
                  <c:v>2.5730874806377795</c:v>
                </c:pt>
                <c:pt idx="381">
                  <c:v>2.583085212800277</c:v>
                </c:pt>
                <c:pt idx="382">
                  <c:v>2.5930829449627746</c:v>
                </c:pt>
                <c:pt idx="383">
                  <c:v>2.6030806771252721</c:v>
                </c:pt>
                <c:pt idx="384">
                  <c:v>2.6130784092877697</c:v>
                </c:pt>
                <c:pt idx="385">
                  <c:v>2.6230761414502672</c:v>
                </c:pt>
                <c:pt idx="386">
                  <c:v>2.6330738736127648</c:v>
                </c:pt>
                <c:pt idx="387">
                  <c:v>2.6430716057752623</c:v>
                </c:pt>
                <c:pt idx="388">
                  <c:v>2.6530693379377599</c:v>
                </c:pt>
                <c:pt idx="389">
                  <c:v>2.6630670701002574</c:v>
                </c:pt>
                <c:pt idx="390">
                  <c:v>2.673064802262755</c:v>
                </c:pt>
                <c:pt idx="391">
                  <c:v>2.6830625344252526</c:v>
                </c:pt>
                <c:pt idx="392">
                  <c:v>2.6930602665877501</c:v>
                </c:pt>
                <c:pt idx="393">
                  <c:v>2.7030579987502477</c:v>
                </c:pt>
                <c:pt idx="394">
                  <c:v>2.7130557309127452</c:v>
                </c:pt>
                <c:pt idx="395">
                  <c:v>2.7230534630752428</c:v>
                </c:pt>
                <c:pt idx="396">
                  <c:v>2.7330511952377403</c:v>
                </c:pt>
                <c:pt idx="397">
                  <c:v>2.7430489274002379</c:v>
                </c:pt>
                <c:pt idx="398">
                  <c:v>2.7530466595627354</c:v>
                </c:pt>
                <c:pt idx="399">
                  <c:v>2.763044391725233</c:v>
                </c:pt>
                <c:pt idx="400">
                  <c:v>2.7730421238877305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487-409E-A303-C554BF44AE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3241152"/>
        <c:axId val="1301037488"/>
      </c:scatterChart>
      <c:scatterChart>
        <c:scatterStyle val="lineMarker"/>
        <c:varyColors val="0"/>
        <c:ser>
          <c:idx val="1"/>
          <c:order val="1"/>
          <c:tx>
            <c:v>Robot Init Position</c:v>
          </c:tx>
          <c:spPr>
            <a:ln w="28575" cap="rnd">
              <a:solidFill>
                <a:schemeClr val="bg1">
                  <a:lumMod val="65000"/>
                </a:schemeClr>
              </a:solidFill>
              <a:round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xVal>
            <c:numRef>
              <c:f>RobotMotion!$U$3:$U$13</c:f>
              <c:numCache>
                <c:formatCode>0.000_ </c:formatCode>
                <c:ptCount val="11"/>
                <c:pt idx="0">
                  <c:v>-0.04</c:v>
                </c:pt>
                <c:pt idx="1">
                  <c:v>0.09</c:v>
                </c:pt>
                <c:pt idx="2">
                  <c:v>0.09</c:v>
                </c:pt>
                <c:pt idx="3">
                  <c:v>-0.04</c:v>
                </c:pt>
                <c:pt idx="4">
                  <c:v>-0.04</c:v>
                </c:pt>
                <c:pt idx="6">
                  <c:v>-0.04</c:v>
                </c:pt>
                <c:pt idx="7">
                  <c:v>0.04</c:v>
                </c:pt>
                <c:pt idx="9">
                  <c:v>-0.04</c:v>
                </c:pt>
                <c:pt idx="10">
                  <c:v>0.04</c:v>
                </c:pt>
              </c:numCache>
            </c:numRef>
          </c:xVal>
          <c:yVal>
            <c:numRef>
              <c:f>RobotMotion!$V$3:$V$13</c:f>
              <c:numCache>
                <c:formatCode>0.000_ </c:formatCode>
                <c:ptCount val="11"/>
                <c:pt idx="0">
                  <c:v>0.05</c:v>
                </c:pt>
                <c:pt idx="1">
                  <c:v>0.05</c:v>
                </c:pt>
                <c:pt idx="2">
                  <c:v>-0.05</c:v>
                </c:pt>
                <c:pt idx="3">
                  <c:v>-0.05</c:v>
                </c:pt>
                <c:pt idx="4">
                  <c:v>0.05</c:v>
                </c:pt>
                <c:pt idx="6">
                  <c:v>7.0000000000000007E-2</c:v>
                </c:pt>
                <c:pt idx="7">
                  <c:v>7.0000000000000007E-2</c:v>
                </c:pt>
                <c:pt idx="9">
                  <c:v>-7.0000000000000007E-2</c:v>
                </c:pt>
                <c:pt idx="10">
                  <c:v>-7.0000000000000007E-2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487-409E-A303-C554BF44AED3}"/>
            </c:ext>
          </c:extLst>
        </c:ser>
        <c:ser>
          <c:idx val="2"/>
          <c:order val="2"/>
          <c:tx>
            <c:v>Realtime Robot</c:v>
          </c:tx>
          <c:spPr>
            <a:ln w="31750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RobotMotion!$X$3:$X$13</c:f>
              <c:numCache>
                <c:formatCode>0.000_ </c:formatCode>
                <c:ptCount val="11"/>
                <c:pt idx="0">
                  <c:v>8.08</c:v>
                </c:pt>
                <c:pt idx="1">
                  <c:v>8.2099999999999991</c:v>
                </c:pt>
                <c:pt idx="2">
                  <c:v>8.2099999999999991</c:v>
                </c:pt>
                <c:pt idx="3">
                  <c:v>8.08</c:v>
                </c:pt>
                <c:pt idx="4">
                  <c:v>8.08</c:v>
                </c:pt>
                <c:pt idx="6">
                  <c:v>8.08</c:v>
                </c:pt>
                <c:pt idx="7">
                  <c:v>8.1599999999999984</c:v>
                </c:pt>
                <c:pt idx="9">
                  <c:v>8.08</c:v>
                </c:pt>
                <c:pt idx="10">
                  <c:v>8.1599999999999984</c:v>
                </c:pt>
              </c:numCache>
            </c:numRef>
          </c:xVal>
          <c:yVal>
            <c:numRef>
              <c:f>RobotMotion!$Y$3:$Y$13</c:f>
              <c:numCache>
                <c:formatCode>General</c:formatCode>
                <c:ptCount val="11"/>
                <c:pt idx="0">
                  <c:v>0.05</c:v>
                </c:pt>
                <c:pt idx="1">
                  <c:v>0.05</c:v>
                </c:pt>
                <c:pt idx="2">
                  <c:v>-0.05</c:v>
                </c:pt>
                <c:pt idx="3">
                  <c:v>-0.05</c:v>
                </c:pt>
                <c:pt idx="4">
                  <c:v>0.05</c:v>
                </c:pt>
                <c:pt idx="6">
                  <c:v>7.0000000000000007E-2</c:v>
                </c:pt>
                <c:pt idx="7">
                  <c:v>7.0000000000000007E-2</c:v>
                </c:pt>
                <c:pt idx="9">
                  <c:v>-7.0000000000000007E-2</c:v>
                </c:pt>
                <c:pt idx="10">
                  <c:v>-7.0000000000000007E-2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C2-481B-8DAB-0D718F9E3D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3241152"/>
        <c:axId val="1301037488"/>
      </c:scatterChart>
      <c:valAx>
        <c:axId val="1303241152"/>
        <c:scaling>
          <c:orientation val="minMax"/>
          <c:max val="0.60000000000000009"/>
          <c:min val="-0.6000000000000000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_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01037488"/>
        <c:crosses val="autoZero"/>
        <c:crossBetween val="midCat"/>
      </c:valAx>
      <c:valAx>
        <c:axId val="1301037488"/>
        <c:scaling>
          <c:orientation val="minMax"/>
          <c:max val="0.60000000000000009"/>
          <c:min val="-0.6000000000000000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_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03241152"/>
        <c:crosses val="autoZero"/>
        <c:crossBetween val="midCat"/>
      </c:valAx>
      <c:spPr>
        <a:solidFill>
          <a:srgbClr val="CCFFCC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00" b="0" i="0" u="none" strike="noStrike" kern="1200" spc="0" baseline="0">
                <a:solidFill>
                  <a:schemeClr val="accent2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>
                <a:solidFill>
                  <a:schemeClr val="accent2">
                    <a:lumMod val="75000"/>
                  </a:schemeClr>
                </a:solidFill>
                <a:latin typeface="HGPｺﾞｼｯｸE" panose="020B0900000000000000" pitchFamily="50" charset="-128"/>
                <a:ea typeface="HGPｺﾞｼｯｸE" panose="020B0900000000000000" pitchFamily="50" charset="-128"/>
              </a:rPr>
              <a:t>絵描きロボットの走行軌道</a:t>
            </a:r>
            <a:endParaRPr lang="en-US" altLang="ja-JP">
              <a:solidFill>
                <a:schemeClr val="accent2">
                  <a:lumMod val="75000"/>
                </a:schemeClr>
              </a:solidFill>
              <a:latin typeface="HGPｺﾞｼｯｸE" panose="020B0900000000000000" pitchFamily="50" charset="-128"/>
              <a:ea typeface="HGPｺﾞｼｯｸE" panose="020B0900000000000000" pitchFamily="50" charset="-12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00" b="0" i="0" u="none" strike="noStrike" kern="1200" spc="0" baseline="0">
              <a:solidFill>
                <a:schemeClr val="accent2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6.8202468257480817E-2"/>
          <c:y val="0.11047849085475975"/>
          <c:w val="0.87928857784046544"/>
          <c:h val="0.84106603070017016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上から見たプリン!$L$2:$L$105</c:f>
              <c:numCache>
                <c:formatCode>0.0000_ </c:formatCode>
                <c:ptCount val="104"/>
                <c:pt idx="0">
                  <c:v>0</c:v>
                </c:pt>
                <c:pt idx="1">
                  <c:v>1.9373456045217315E-3</c:v>
                </c:pt>
                <c:pt idx="2">
                  <c:v>5.8074059334315932E-3</c:v>
                </c:pt>
                <c:pt idx="3">
                  <c:v>1.0804823575794528E-2</c:v>
                </c:pt>
                <c:pt idx="4">
                  <c:v>1.5758625821666039E-2</c:v>
                </c:pt>
                <c:pt idx="5">
                  <c:v>2.0649263442976587E-2</c:v>
                </c:pt>
                <c:pt idx="6">
                  <c:v>2.5457436478702456E-2</c:v>
                </c:pt>
                <c:pt idx="7">
                  <c:v>3.0164170398451047E-2</c:v>
                </c:pt>
                <c:pt idx="8">
                  <c:v>3.475089098179672E-2</c:v>
                </c:pt>
                <c:pt idx="9">
                  <c:v>3.9199497617870359E-2</c:v>
                </c:pt>
                <c:pt idx="10">
                  <c:v>4.3492434735939854E-2</c:v>
                </c:pt>
                <c:pt idx="11">
                  <c:v>4.761276108509449E-2</c:v>
                </c:pt>
                <c:pt idx="12">
                  <c:v>5.1544216589634297E-2</c:v>
                </c:pt>
                <c:pt idx="13">
                  <c:v>5.5271286516332375E-2</c:v>
                </c:pt>
                <c:pt idx="14">
                  <c:v>5.8779262700346481E-2</c:v>
                </c:pt>
                <c:pt idx="15">
                  <c:v>6.2054301588163552E-2</c:v>
                </c:pt>
                <c:pt idx="16">
                  <c:v>6.5083478868521893E-2</c:v>
                </c:pt>
                <c:pt idx="17">
                  <c:v>6.7854840475720518E-2</c:v>
                </c:pt>
                <c:pt idx="18">
                  <c:v>7.0357449764041E-2</c:v>
                </c:pt>
                <c:pt idx="19">
                  <c:v>7.258143066711692E-2</c:v>
                </c:pt>
                <c:pt idx="20">
                  <c:v>7.451800667193087E-2</c:v>
                </c:pt>
                <c:pt idx="21">
                  <c:v>7.6159535453635574E-2</c:v>
                </c:pt>
                <c:pt idx="22">
                  <c:v>7.7499539034519463E-2</c:v>
                </c:pt>
                <c:pt idx="23">
                  <c:v>7.8532729348100155E-2</c:v>
                </c:pt>
                <c:pt idx="24">
                  <c:v>7.9255029107462086E-2</c:v>
                </c:pt>
                <c:pt idx="25">
                  <c:v>7.9663587895485333E-2</c:v>
                </c:pt>
                <c:pt idx="26">
                  <c:v>7.9756793413468724E-2</c:v>
                </c:pt>
                <c:pt idx="27">
                  <c:v>7.9534277843756662E-2</c:v>
                </c:pt>
                <c:pt idx="28">
                  <c:v>7.8996919301260765E-2</c:v>
                </c:pt>
                <c:pt idx="29">
                  <c:v>7.8146838368148216E-2</c:v>
                </c:pt>
                <c:pt idx="30">
                  <c:v>7.6987389725371974E-2</c:v>
                </c:pt>
                <c:pt idx="31">
                  <c:v>7.5523148914067445E-2</c:v>
                </c:pt>
                <c:pt idx="32">
                  <c:v>7.3759894279059102E-2</c:v>
                </c:pt>
                <c:pt idx="33">
                  <c:v>7.1704584165733692E-2</c:v>
                </c:pt>
                <c:pt idx="34">
                  <c:v>6.9365329460268105E-2</c:v>
                </c:pt>
                <c:pt idx="35">
                  <c:v>6.675136158157656E-2</c:v>
                </c:pt>
                <c:pt idx="36">
                  <c:v>6.3872996051290876E-2</c:v>
                </c:pt>
                <c:pt idx="37">
                  <c:v>6.0741591785537744E-2</c:v>
                </c:pt>
                <c:pt idx="38">
                  <c:v>5.7369506269160278E-2</c:v>
                </c:pt>
                <c:pt idx="39">
                  <c:v>5.3770046789280122E-2</c:v>
                </c:pt>
                <c:pt idx="40">
                  <c:v>4.9957417920647493E-2</c:v>
                </c:pt>
                <c:pt idx="41">
                  <c:v>4.5946665470018112E-2</c:v>
                </c:pt>
                <c:pt idx="42">
                  <c:v>4.1753617100769774E-2</c:v>
                </c:pt>
                <c:pt idx="43">
                  <c:v>3.7394819872072105E-2</c:v>
                </c:pt>
                <c:pt idx="44">
                  <c:v>3.2887474939099132E-2</c:v>
                </c:pt>
                <c:pt idx="45">
                  <c:v>2.8249369671977761E-2</c:v>
                </c:pt>
                <c:pt idx="46">
                  <c:v>2.3498807461351631E-2</c:v>
                </c:pt>
                <c:pt idx="47">
                  <c:v>1.8654535487569221E-2</c:v>
                </c:pt>
                <c:pt idx="48">
                  <c:v>1.3735670738541246E-2</c:v>
                </c:pt>
                <c:pt idx="49">
                  <c:v>8.7616245682235697E-3</c:v>
                </c:pt>
                <c:pt idx="50">
                  <c:v>3.7520260934411579E-3</c:v>
                </c:pt>
                <c:pt idx="51">
                  <c:v>-1.2733552686472862E-3</c:v>
                </c:pt>
                <c:pt idx="52">
                  <c:v>-6.2946878167529649E-3</c:v>
                </c:pt>
                <c:pt idx="53">
                  <c:v>-1.1292155827452976E-2</c:v>
                </c:pt>
                <c:pt idx="54">
                  <c:v>-1.6246037754132726E-2</c:v>
                </c:pt>
                <c:pt idx="55">
                  <c:v>-2.1136784054277685E-2</c:v>
                </c:pt>
                <c:pt idx="56">
                  <c:v>-2.5945094337984021E-2</c:v>
                </c:pt>
                <c:pt idx="57">
                  <c:v>-3.065199353323636E-2</c:v>
                </c:pt>
                <c:pt idx="58">
                  <c:v>-3.5238906767381076E-2</c:v>
                </c:pt>
                <c:pt idx="59">
                  <c:v>-3.968773266928971E-2</c:v>
                </c:pt>
                <c:pt idx="60">
                  <c:v>-4.398091480293969E-2</c:v>
                </c:pt>
                <c:pt idx="61">
                  <c:v>-4.8101510950513432E-2</c:v>
                </c:pt>
                <c:pt idx="62">
                  <c:v>-5.2033259971603373E-2</c:v>
                </c:pt>
                <c:pt idx="63">
                  <c:v>-5.5760645974675983E-2</c:v>
                </c:pt>
                <c:pt idx="64">
                  <c:v>-5.9268959547554387E-2</c:v>
                </c:pt>
                <c:pt idx="65">
                  <c:v>-6.2544355805285237E-2</c:v>
                </c:pt>
                <c:pt idx="66">
                  <c:v>-6.5573909026315186E-2</c:v>
                </c:pt>
                <c:pt idx="67">
                  <c:v>-6.8345663661365685E-2</c:v>
                </c:pt>
                <c:pt idx="68">
                  <c:v>-7.0848681513709433E-2</c:v>
                </c:pt>
                <c:pt idx="69">
                  <c:v>-7.3073084904660662E-2</c:v>
                </c:pt>
                <c:pt idx="70">
                  <c:v>-7.5010095653934794E-2</c:v>
                </c:pt>
                <c:pt idx="71">
                  <c:v>-7.6652069721049126E-2</c:v>
                </c:pt>
                <c:pt idx="72">
                  <c:v>-7.7992527371058856E-2</c:v>
                </c:pt>
                <c:pt idx="73">
                  <c:v>-7.9026178745585096E-2</c:v>
                </c:pt>
                <c:pt idx="74">
                  <c:v>-7.9748944738223915E-2</c:v>
                </c:pt>
                <c:pt idx="75">
                  <c:v>-8.0157973091955395E-2</c:v>
                </c:pt>
                <c:pt idx="76">
                  <c:v>-8.0251649655027582E-2</c:v>
                </c:pt>
                <c:pt idx="77">
                  <c:v>-8.0029604750896016E-2</c:v>
                </c:pt>
                <c:pt idx="78">
                  <c:v>-7.9492714637081088E-2</c:v>
                </c:pt>
                <c:pt idx="79">
                  <c:v>-7.8643098047186277E-2</c:v>
                </c:pt>
                <c:pt idx="80">
                  <c:v>-7.7484107829723314E-2</c:v>
                </c:pt>
                <c:pt idx="81">
                  <c:v>-7.6020317716740227E-2</c:v>
                </c:pt>
                <c:pt idx="82">
                  <c:v>-7.4257504274467229E-2</c:v>
                </c:pt>
                <c:pt idx="83">
                  <c:v>-7.2202624107208777E-2</c:v>
                </c:pt>
                <c:pt idx="84">
                  <c:v>-6.9863786404442269E-2</c:v>
                </c:pt>
                <c:pt idx="85">
                  <c:v>-6.7250220939460967E-2</c:v>
                </c:pt>
                <c:pt idx="86">
                  <c:v>-6.4372241645848344E-2</c:v>
                </c:pt>
                <c:pt idx="87">
                  <c:v>-6.1241205915522325E-2</c:v>
                </c:pt>
                <c:pt idx="88">
                  <c:v>-5.7869469778971817E-2</c:v>
                </c:pt>
                <c:pt idx="89">
                  <c:v>-5.4270339144558172E-2</c:v>
                </c:pt>
                <c:pt idx="90">
                  <c:v>-5.0458017289306184E-2</c:v>
                </c:pt>
                <c:pt idx="91">
                  <c:v>-4.6447548808402302E-2</c:v>
                </c:pt>
                <c:pt idx="92">
                  <c:v>-4.2254760244592397E-2</c:v>
                </c:pt>
                <c:pt idx="93">
                  <c:v>-3.7896197631773897E-2</c:v>
                </c:pt>
                <c:pt idx="94">
                  <c:v>-3.3389061199254368E-2</c:v>
                </c:pt>
                <c:pt idx="95">
                  <c:v>-2.8751137494353769E-2</c:v>
                </c:pt>
                <c:pt idx="96">
                  <c:v>-2.4000729191215341E-2</c:v>
                </c:pt>
                <c:pt idx="97">
                  <c:v>-1.9156582862821257E-2</c:v>
                </c:pt>
                <c:pt idx="98">
                  <c:v>-1.4237815001246863E-2</c:v>
                </c:pt>
                <c:pt idx="99">
                  <c:v>-9.2638365781003203E-3</c:v>
                </c:pt>
                <c:pt idx="100">
                  <c:v>-5.2794809334226374E-3</c:v>
                </c:pt>
                <c:pt idx="101">
                  <c:v>-3.2197880838194235E-3</c:v>
                </c:pt>
                <c:pt idx="102">
                  <c:v>-3.0948938302439474E-3</c:v>
                </c:pt>
                <c:pt idx="103">
                  <c:v>-2.9700078605796438E-3</c:v>
                </c:pt>
              </c:numCache>
            </c:numRef>
          </c:xVal>
          <c:yVal>
            <c:numRef>
              <c:f>上から見たプリン!$M$2:$M$402</c:f>
              <c:numCache>
                <c:formatCode>0.0000_ </c:formatCode>
                <c:ptCount val="401"/>
                <c:pt idx="0">
                  <c:v>0</c:v>
                </c:pt>
                <c:pt idx="1">
                  <c:v>2.4459326244361507E-5</c:v>
                </c:pt>
                <c:pt idx="2">
                  <c:v>2.2005597907384737E-4</c:v>
                </c:pt>
                <c:pt idx="3">
                  <c:v>7.5764873414006003E-4</c:v>
                </c:pt>
                <c:pt idx="4">
                  <c:v>1.6079618360609691E-3</c:v>
                </c:pt>
                <c:pt idx="5">
                  <c:v>2.7676396876740459E-3</c:v>
                </c:pt>
                <c:pt idx="6">
                  <c:v>4.2321058433153012E-3</c:v>
                </c:pt>
                <c:pt idx="7">
                  <c:v>5.9955810688821576E-3</c:v>
                </c:pt>
                <c:pt idx="8">
                  <c:v>8.0511061484696365E-3</c:v>
                </c:pt>
                <c:pt idx="9">
                  <c:v>1.0390569347577837E-2</c:v>
                </c:pt>
                <c:pt idx="10">
                  <c:v>1.3004738424512453E-2</c:v>
                </c:pt>
                <c:pt idx="11">
                  <c:v>1.5883297063651495E-2</c:v>
                </c:pt>
                <c:pt idx="12">
                  <c:v>1.9014885586801311E-2</c:v>
                </c:pt>
                <c:pt idx="13">
                  <c:v>2.23871457819824E-2</c:v>
                </c:pt>
                <c:pt idx="14">
                  <c:v>2.59867696727368E-2</c:v>
                </c:pt>
                <c:pt idx="15">
                  <c:v>2.9799552035498399E-2</c:v>
                </c:pt>
                <c:pt idx="16">
                  <c:v>3.3810446457776408E-2</c:v>
                </c:pt>
                <c:pt idx="17">
                  <c:v>3.8003624715929218E-2</c:v>
                </c:pt>
                <c:pt idx="18">
                  <c:v>4.2362539238205613E-2</c:v>
                </c:pt>
                <c:pt idx="19">
                  <c:v>4.6869988406555006E-2</c:v>
                </c:pt>
                <c:pt idx="20">
                  <c:v>5.1508184439505625E-2</c:v>
                </c:pt>
                <c:pt idx="21">
                  <c:v>5.6258823588223941E-2</c:v>
                </c:pt>
                <c:pt idx="22">
                  <c:v>6.1103158368740085E-2</c:v>
                </c:pt>
                <c:pt idx="23">
                  <c:v>6.6022071545288649E-2</c:v>
                </c:pt>
                <c:pt idx="24">
                  <c:v>7.0996151572803853E-2</c:v>
                </c:pt>
                <c:pt idx="25">
                  <c:v>7.6005769200849824E-2</c:v>
                </c:pt>
                <c:pt idx="26">
                  <c:v>8.1031154936683183E-2</c:v>
                </c:pt>
                <c:pt idx="27">
                  <c:v>8.6052477061754992E-2</c:v>
                </c:pt>
                <c:pt idx="28">
                  <c:v>9.1049919893774853E-2</c:v>
                </c:pt>
                <c:pt idx="29">
                  <c:v>9.6003761985490987E-2</c:v>
                </c:pt>
                <c:pt idx="30">
                  <c:v>0.10089445395158989</c:v>
                </c:pt>
                <c:pt idx="31">
                  <c:v>0.10570269561658659</c:v>
                </c:pt>
                <c:pt idx="32">
                  <c:v>0.11040951217925626</c:v>
                </c:pt>
                <c:pt idx="33">
                  <c:v>0.11499632909303888</c:v>
                </c:pt>
                <c:pt idx="34">
                  <c:v>0.11944504536691576</c:v>
                </c:pt>
                <c:pt idx="35">
                  <c:v>0.1237381049974903</c:v>
                </c:pt>
                <c:pt idx="36">
                  <c:v>0.12785856625037975</c:v>
                </c:pt>
                <c:pt idx="37">
                  <c:v>0.13179016851751246</c:v>
                </c:pt>
                <c:pt idx="38">
                  <c:v>0.13551739648649119</c:v>
                </c:pt>
                <c:pt idx="39">
                  <c:v>0.13902554136879022</c:v>
                </c:pt>
                <c:pt idx="40">
                  <c:v>0.14230075894516117</c:v>
                </c:pt>
                <c:pt idx="41">
                  <c:v>0.14533012419918229</c:v>
                </c:pt>
                <c:pt idx="42">
                  <c:v>0.14810168232335069</c:v>
                </c:pt>
                <c:pt idx="43">
                  <c:v>0.15060449589643149</c:v>
                </c:pt>
                <c:pt idx="44">
                  <c:v>0.15282868804588776</c:v>
                </c:pt>
                <c:pt idx="45">
                  <c:v>0.15476548142505886</c:v>
                </c:pt>
                <c:pt idx="46">
                  <c:v>0.15640723285127142</c:v>
                </c:pt>
                <c:pt idx="47">
                  <c:v>0.15774746346819013</c:v>
                </c:pt>
                <c:pt idx="48">
                  <c:v>0.15878088431337856</c:v>
                </c:pt>
                <c:pt idx="49">
                  <c:v>0.15950341719017244</c:v>
                </c:pt>
                <c:pt idx="50">
                  <c:v>0.15991221076149878</c:v>
                </c:pt>
                <c:pt idx="51">
                  <c:v>0.1600056518021292</c:v>
                </c:pt>
                <c:pt idx="52">
                  <c:v>0.15978337156496328</c:v>
                </c:pt>
                <c:pt idx="53">
                  <c:v>0.159246247236218</c:v>
                </c:pt>
                <c:pt idx="54">
                  <c:v>0.15839639847378098</c:v>
                </c:pt>
                <c:pt idx="55">
                  <c:v>0.15723717904238829</c:v>
                </c:pt>
                <c:pt idx="56">
                  <c:v>0.15577316357863666</c:v>
                </c:pt>
                <c:pt idx="57">
                  <c:v>0.15401012953805976</c:v>
                </c:pt>
                <c:pt idx="58">
                  <c:v>0.15195503439551086</c:v>
                </c:pt>
                <c:pt idx="59">
                  <c:v>0.14961598818882599</c:v>
                </c:pt>
                <c:pt idx="60">
                  <c:v>0.14700222151411904</c:v>
                </c:pt>
                <c:pt idx="61">
                  <c:v>0.14412404909900897</c:v>
                </c:pt>
                <c:pt idx="62">
                  <c:v>0.14099282909753058</c:v>
                </c:pt>
                <c:pt idx="63">
                  <c:v>0.13762091826736345</c:v>
                </c:pt>
                <c:pt idx="64">
                  <c:v>0.13402162320626368</c:v>
                </c:pt>
                <c:pt idx="65">
                  <c:v>0.13020914784013438</c:v>
                </c:pt>
                <c:pt idx="66">
                  <c:v>0.12619853736996314</c:v>
                </c:pt>
                <c:pt idx="67">
                  <c:v>0.12200561889882922</c:v>
                </c:pt>
                <c:pt idx="68">
                  <c:v>0.11764693897328427</c:v>
                </c:pt>
                <c:pt idx="69">
                  <c:v>0.11313969828558799</c:v>
                </c:pt>
                <c:pt idx="70">
                  <c:v>0.10850168379448337</c:v>
                </c:pt>
                <c:pt idx="71">
                  <c:v>0.10375119853238393</c:v>
                </c:pt>
                <c:pt idx="72">
                  <c:v>9.8906989375975585E-2</c:v>
                </c:pt>
                <c:pt idx="73">
                  <c:v>9.3988173065272365E-2</c:v>
                </c:pt>
                <c:pt idx="74">
                  <c:v>8.901416076307761E-2</c:v>
                </c:pt>
                <c:pt idx="75">
                  <c:v>8.4004581452562233E-2</c:v>
                </c:pt>
                <c:pt idx="76">
                  <c:v>7.8979204475256845E-2</c:v>
                </c:pt>
                <c:pt idx="77">
                  <c:v>7.395786151514655E-2</c:v>
                </c:pt>
                <c:pt idx="78">
                  <c:v>6.8960368336743225E-2</c:v>
                </c:pt>
                <c:pt idx="79">
                  <c:v>6.4006446585980953E-2</c:v>
                </c:pt>
                <c:pt idx="80">
                  <c:v>5.9115645962532361E-2</c:v>
                </c:pt>
                <c:pt idx="81">
                  <c:v>5.4307267070677748E-2</c:v>
                </c:pt>
                <c:pt idx="82">
                  <c:v>4.9600285253181359E-2</c:v>
                </c:pt>
                <c:pt idx="83">
                  <c:v>4.5013275708749613E-2</c:v>
                </c:pt>
                <c:pt idx="84">
                  <c:v>4.0564340188581009E-2</c:v>
                </c:pt>
                <c:pt idx="85">
                  <c:v>3.6271035561285497E-2</c:v>
                </c:pt>
                <c:pt idx="86">
                  <c:v>3.2150304528078287E-2</c:v>
                </c:pt>
                <c:pt idx="87">
                  <c:v>2.821840876166715E-2</c:v>
                </c:pt>
                <c:pt idx="88">
                  <c:v>2.4490864732687818E-2</c:v>
                </c:pt>
                <c:pt idx="89">
                  <c:v>2.0982382476936023E-2</c:v>
                </c:pt>
                <c:pt idx="90">
                  <c:v>1.7706807545039633E-2</c:v>
                </c:pt>
                <c:pt idx="91">
                  <c:v>1.4677066363655237E-2</c:v>
                </c:pt>
                <c:pt idx="92">
                  <c:v>1.1905115223810794E-2</c:v>
                </c:pt>
                <c:pt idx="93">
                  <c:v>9.4018930977019712E-3</c:v>
                </c:pt>
                <c:pt idx="94">
                  <c:v>7.1772784701416917E-3</c:v>
                </c:pt>
                <c:pt idx="95">
                  <c:v>5.2400503550191803E-3</c:v>
                </c:pt>
                <c:pt idx="96">
                  <c:v>3.5978536506096693E-3</c:v>
                </c:pt>
                <c:pt idx="97">
                  <c:v>2.2571689704532459E-3</c:v>
                </c:pt>
                <c:pt idx="98">
                  <c:v>1.2232870688596142E-3</c:v>
                </c:pt>
                <c:pt idx="99">
                  <c:v>5.0028796196345678E-4</c:v>
                </c:pt>
                <c:pt idx="100">
                  <c:v>1.4686173667013833E-4</c:v>
                </c:pt>
                <c:pt idx="101">
                  <c:v>3.9290293929086309E-5</c:v>
                </c:pt>
                <c:pt idx="102">
                  <c:v>3.4149727440410183E-5</c:v>
                </c:pt>
                <c:pt idx="103">
                  <c:v>2.8811695873766852E-5</c:v>
                </c:pt>
                <c:pt idx="104">
                  <c:v>2.3276212573749953E-5</c:v>
                </c:pt>
                <c:pt idx="105">
                  <c:v>1.7543291378564964E-5</c:v>
                </c:pt>
                <c:pt idx="106">
                  <c:v>1.1612946619993719E-5</c:v>
                </c:pt>
                <c:pt idx="107">
                  <c:v>5.4851931233594615E-6</c:v>
                </c:pt>
                <c:pt idx="108">
                  <c:v>-8.3995379251109935E-7</c:v>
                </c:pt>
                <c:pt idx="109">
                  <c:v>-7.3624783153252001E-6</c:v>
                </c:pt>
                <c:pt idx="110">
                  <c:v>-1.4082364139364439E-5</c:v>
                </c:pt>
                <c:pt idx="111">
                  <c:v>-2.0999594465524651E-5</c:v>
                </c:pt>
                <c:pt idx="112">
                  <c:v>-2.8114152001358791E-5</c:v>
                </c:pt>
                <c:pt idx="113">
                  <c:v>-3.5426018961119278E-5</c:v>
                </c:pt>
                <c:pt idx="114">
                  <c:v>-4.2935177065803339E-5</c:v>
                </c:pt>
                <c:pt idx="115">
                  <c:v>-5.064160754319783E-5</c:v>
                </c:pt>
                <c:pt idx="116">
                  <c:v>-5.8545291127927039E-5</c:v>
                </c:pt>
                <c:pt idx="117">
                  <c:v>-6.6646208061499966E-5</c:v>
                </c:pt>
                <c:pt idx="118">
                  <c:v>-7.4944338092360619E-5</c:v>
                </c:pt>
                <c:pt idx="119">
                  <c:v>-8.3439660475937707E-5</c:v>
                </c:pt>
                <c:pt idx="120">
                  <c:v>-9.2132153974697445E-5</c:v>
                </c:pt>
                <c:pt idx="121">
                  <c:v>-1.0102179685819574E-4</c:v>
                </c:pt>
                <c:pt idx="122">
                  <c:v>-1.1010856690313336E-4</c:v>
                </c:pt>
                <c:pt idx="123">
                  <c:v>-1.1939244139341067E-4</c:v>
                </c:pt>
                <c:pt idx="124">
                  <c:v>-1.2887339712018526E-4</c:v>
                </c:pt>
                <c:pt idx="125">
                  <c:v>-1.3855141038192912E-4</c:v>
                </c:pt>
                <c:pt idx="126">
                  <c:v>-1.4842645698448869E-4</c:v>
                </c:pt>
                <c:pt idx="127">
                  <c:v>-1.584985122411446E-4</c:v>
                </c:pt>
                <c:pt idx="128">
                  <c:v>-1.6876755097267415E-4</c:v>
                </c:pt>
                <c:pt idx="129">
                  <c:v>-1.7923354750741337E-4</c:v>
                </c:pt>
                <c:pt idx="130">
                  <c:v>-1.8989647568132218E-4</c:v>
                </c:pt>
                <c:pt idx="131">
                  <c:v>-2.0075630883804884E-4</c:v>
                </c:pt>
                <c:pt idx="132">
                  <c:v>-2.1181301982899748E-4</c:v>
                </c:pt>
                <c:pt idx="133">
                  <c:v>-2.2306658101339506E-4</c:v>
                </c:pt>
                <c:pt idx="134">
                  <c:v>-2.3451696425836146E-4</c:v>
                </c:pt>
                <c:pt idx="135">
                  <c:v>-2.461641409389788E-4</c:v>
                </c:pt>
                <c:pt idx="136">
                  <c:v>-2.5800808193836397E-4</c:v>
                </c:pt>
                <c:pt idx="137">
                  <c:v>-2.7004875764774044E-4</c:v>
                </c:pt>
                <c:pt idx="138">
                  <c:v>-2.8228613796651324E-4</c:v>
                </c:pt>
                <c:pt idx="139">
                  <c:v>-2.9472019230234337E-4</c:v>
                </c:pt>
                <c:pt idx="140">
                  <c:v>-3.0735088957122502E-4</c:v>
                </c:pt>
                <c:pt idx="141">
                  <c:v>-3.2017819819756254E-4</c:v>
                </c:pt>
                <c:pt idx="142">
                  <c:v>-3.3320208611425017E-4</c:v>
                </c:pt>
                <c:pt idx="143">
                  <c:v>-3.4642252076275132E-4</c:v>
                </c:pt>
                <c:pt idx="144">
                  <c:v>-3.5983946909318095E-4</c:v>
                </c:pt>
                <c:pt idx="145">
                  <c:v>-3.734528975643871E-4</c:v>
                </c:pt>
                <c:pt idx="146">
                  <c:v>-3.8726277214403586E-4</c:v>
                </c:pt>
                <c:pt idx="147">
                  <c:v>-4.0126905830869543E-4</c:v>
                </c:pt>
                <c:pt idx="148">
                  <c:v>-4.1547172104392329E-4</c:v>
                </c:pt>
                <c:pt idx="149">
                  <c:v>-4.29870724844353E-4</c:v>
                </c:pt>
                <c:pt idx="150">
                  <c:v>-4.4446603371378363E-4</c:v>
                </c:pt>
                <c:pt idx="151">
                  <c:v>-4.5925761116526903E-4</c:v>
                </c:pt>
                <c:pt idx="152">
                  <c:v>-4.7424542022120986E-4</c:v>
                </c:pt>
                <c:pt idx="153">
                  <c:v>-4.8942942341344514E-4</c:v>
                </c:pt>
                <c:pt idx="154">
                  <c:v>-5.0480958278334691E-4</c:v>
                </c:pt>
                <c:pt idx="155">
                  <c:v>-5.2038585988191399E-4</c:v>
                </c:pt>
                <c:pt idx="156">
                  <c:v>-5.3615821576986921E-4</c:v>
                </c:pt>
                <c:pt idx="157">
                  <c:v>-5.5212661101775593E-4</c:v>
                </c:pt>
                <c:pt idx="158">
                  <c:v>-5.6829100570603716E-4</c:v>
                </c:pt>
                <c:pt idx="159">
                  <c:v>-5.8465135942519484E-4</c:v>
                </c:pt>
                <c:pt idx="160">
                  <c:v>-6.0120763127583139E-4</c:v>
                </c:pt>
                <c:pt idx="161">
                  <c:v>-6.1795977986877151E-4</c:v>
                </c:pt>
                <c:pt idx="162">
                  <c:v>-6.3490776332516608E-4</c:v>
                </c:pt>
                <c:pt idx="163">
                  <c:v>-6.5205153927659631E-4</c:v>
                </c:pt>
                <c:pt idx="164">
                  <c:v>-6.6939106486518037E-4</c:v>
                </c:pt>
                <c:pt idx="165">
                  <c:v>-6.8692629674367957E-4</c:v>
                </c:pt>
                <c:pt idx="166">
                  <c:v>-7.0465719107560784E-4</c:v>
                </c:pt>
                <c:pt idx="167">
                  <c:v>-7.2258370353534029E-4</c:v>
                </c:pt>
                <c:pt idx="168">
                  <c:v>-7.4070578930822493E-4</c:v>
                </c:pt>
                <c:pt idx="169">
                  <c:v>-7.590234030906938E-4</c:v>
                </c:pt>
                <c:pt idx="170">
                  <c:v>-7.7753649909037721E-4</c:v>
                </c:pt>
                <c:pt idx="171">
                  <c:v>-7.9624503102621708E-4</c:v>
                </c:pt>
                <c:pt idx="172">
                  <c:v>-8.1514895212858379E-4</c:v>
                </c:pt>
                <c:pt idx="173">
                  <c:v>-8.3424821513939219E-4</c:v>
                </c:pt>
                <c:pt idx="174">
                  <c:v>-8.5354277231222036E-4</c:v>
                </c:pt>
                <c:pt idx="175">
                  <c:v>-8.7303257541242847E-4</c:v>
                </c:pt>
                <c:pt idx="176">
                  <c:v>-8.9271757571727996E-4</c:v>
                </c:pt>
                <c:pt idx="177">
                  <c:v>-9.1259772401606251E-4</c:v>
                </c:pt>
                <c:pt idx="178">
                  <c:v>-9.3267297061021205E-4</c:v>
                </c:pt>
                <c:pt idx="179">
                  <c:v>-9.5294326531343608E-4</c:v>
                </c:pt>
                <c:pt idx="180">
                  <c:v>-9.7340855745184005E-4</c:v>
                </c:pt>
                <c:pt idx="181">
                  <c:v>-9.9406879586405291E-4</c:v>
                </c:pt>
                <c:pt idx="182">
                  <c:v>-1.0149239289013563E-3</c:v>
                </c:pt>
                <c:pt idx="183">
                  <c:v>-1.0359739044278123E-3</c:v>
                </c:pt>
                <c:pt idx="184">
                  <c:v>-1.0572186698203951E-3</c:v>
                </c:pt>
                <c:pt idx="185">
                  <c:v>-1.0786581719691214E-3</c:v>
                </c:pt>
                <c:pt idx="186">
                  <c:v>-1.1002923572771843E-3</c:v>
                </c:pt>
                <c:pt idx="187">
                  <c:v>-1.1221211716610862E-3</c:v>
                </c:pt>
                <c:pt idx="188">
                  <c:v>-1.1441445605507748E-3</c:v>
                </c:pt>
                <c:pt idx="189">
                  <c:v>-1.1663624688897788E-3</c:v>
                </c:pt>
                <c:pt idx="190">
                  <c:v>-1.1887748411353466E-3</c:v>
                </c:pt>
                <c:pt idx="191">
                  <c:v>-1.2113816212585837E-3</c:v>
                </c:pt>
                <c:pt idx="192">
                  <c:v>-1.2341827527445944E-3</c:v>
                </c:pt>
                <c:pt idx="193">
                  <c:v>-1.2571781785926217E-3</c:v>
                </c:pt>
                <c:pt idx="194">
                  <c:v>-1.2803678413161905E-3</c:v>
                </c:pt>
                <c:pt idx="195">
                  <c:v>-1.3037516829432511E-3</c:v>
                </c:pt>
                <c:pt idx="196">
                  <c:v>-1.3273296450163246E-3</c:v>
                </c:pt>
                <c:pt idx="197">
                  <c:v>-1.3511016685926478E-3</c:v>
                </c:pt>
                <c:pt idx="198">
                  <c:v>-1.3750676942443222E-3</c:v>
                </c:pt>
                <c:pt idx="199">
                  <c:v>-1.3992276620584611E-3</c:v>
                </c:pt>
                <c:pt idx="200">
                  <c:v>-1.4235815116373405E-3</c:v>
                </c:pt>
                <c:pt idx="201">
                  <c:v>-1.4481291820985494E-3</c:v>
                </c:pt>
                <c:pt idx="202">
                  <c:v>-1.4728706120751423E-3</c:v>
                </c:pt>
                <c:pt idx="203">
                  <c:v>-1.4978057397157924E-3</c:v>
                </c:pt>
                <c:pt idx="204">
                  <c:v>-1.5229345026849463E-3</c:v>
                </c:pt>
                <c:pt idx="205">
                  <c:v>-1.5482568381629798E-3</c:v>
                </c:pt>
                <c:pt idx="206">
                  <c:v>-1.5737726828463556E-3</c:v>
                </c:pt>
                <c:pt idx="207">
                  <c:v>-1.5994819729477801E-3</c:v>
                </c:pt>
                <c:pt idx="208">
                  <c:v>-1.6253846441963646E-3</c:v>
                </c:pt>
                <c:pt idx="209">
                  <c:v>-1.6514806318377842E-3</c:v>
                </c:pt>
                <c:pt idx="210">
                  <c:v>-1.6777698706344417E-3</c:v>
                </c:pt>
                <c:pt idx="211">
                  <c:v>-1.7042522948656283E-3</c:v>
                </c:pt>
                <c:pt idx="212">
                  <c:v>-1.7309278383276902E-3</c:v>
                </c:pt>
                <c:pt idx="213">
                  <c:v>-1.7577964343341926E-3</c:v>
                </c:pt>
                <c:pt idx="214">
                  <c:v>-1.7848580157160869E-3</c:v>
                </c:pt>
                <c:pt idx="215">
                  <c:v>-1.8121125148218785E-3</c:v>
                </c:pt>
                <c:pt idx="216">
                  <c:v>-1.8395598635177965E-3</c:v>
                </c:pt>
                <c:pt idx="217">
                  <c:v>-1.867199993187963E-3</c:v>
                </c:pt>
                <c:pt idx="218">
                  <c:v>-1.8950328347345656E-3</c:v>
                </c:pt>
                <c:pt idx="219">
                  <c:v>-1.9230583185780293E-3</c:v>
                </c:pt>
                <c:pt idx="220">
                  <c:v>-1.9512763746571912E-3</c:v>
                </c:pt>
                <c:pt idx="221">
                  <c:v>-1.9796869324294748E-3</c:v>
                </c:pt>
                <c:pt idx="222">
                  <c:v>-2.0082899208710681E-3</c:v>
                </c:pt>
                <c:pt idx="223">
                  <c:v>-2.0370852684770983E-3</c:v>
                </c:pt>
                <c:pt idx="224">
                  <c:v>-2.0660729032618134E-3</c:v>
                </c:pt>
                <c:pt idx="225">
                  <c:v>-2.09525275275876E-3</c:v>
                </c:pt>
                <c:pt idx="226">
                  <c:v>-2.1246247440209662E-3</c:v>
                </c:pt>
                <c:pt idx="227">
                  <c:v>-2.1541888036211228E-3</c:v>
                </c:pt>
                <c:pt idx="228">
                  <c:v>-2.183944857651767E-3</c:v>
                </c:pt>
                <c:pt idx="229">
                  <c:v>-2.2138928317254679E-3</c:v>
                </c:pt>
                <c:pt idx="230">
                  <c:v>-2.2440326509750113E-3</c:v>
                </c:pt>
                <c:pt idx="231">
                  <c:v>-2.2743642400535878E-3</c:v>
                </c:pt>
                <c:pt idx="232">
                  <c:v>-2.3048875231349813E-3</c:v>
                </c:pt>
                <c:pt idx="233">
                  <c:v>-2.335602423913757E-3</c:v>
                </c:pt>
                <c:pt idx="234">
                  <c:v>-2.3665088656054543E-3</c:v>
                </c:pt>
                <c:pt idx="235">
                  <c:v>-2.3976067709467774E-3</c:v>
                </c:pt>
                <c:pt idx="236">
                  <c:v>-2.4288960621957887E-3</c:v>
                </c:pt>
                <c:pt idx="237">
                  <c:v>-2.4603766611321029E-3</c:v>
                </c:pt>
                <c:pt idx="238">
                  <c:v>-2.4920484890570836E-3</c:v>
                </c:pt>
                <c:pt idx="239">
                  <c:v>-2.5239114667940385E-3</c:v>
                </c:pt>
                <c:pt idx="240">
                  <c:v>-2.5559655146884194E-3</c:v>
                </c:pt>
                <c:pt idx="241">
                  <c:v>-2.5882105526080184E-3</c:v>
                </c:pt>
                <c:pt idx="242">
                  <c:v>-2.620646499943171E-3</c:v>
                </c:pt>
                <c:pt idx="243">
                  <c:v>-2.6532732756069559E-3</c:v>
                </c:pt>
                <c:pt idx="244">
                  <c:v>-2.6860907980353994E-3</c:v>
                </c:pt>
                <c:pt idx="245">
                  <c:v>-2.7190989851876768E-3</c:v>
                </c:pt>
                <c:pt idx="246">
                  <c:v>-2.7522977545463199E-3</c:v>
                </c:pt>
                <c:pt idx="247">
                  <c:v>-2.7856870231174214E-3</c:v>
                </c:pt>
                <c:pt idx="248">
                  <c:v>-2.8192667074308448E-3</c:v>
                </c:pt>
                <c:pt idx="249">
                  <c:v>-2.85303672354043E-3</c:v>
                </c:pt>
                <c:pt idx="250">
                  <c:v>-2.8869969870242056E-3</c:v>
                </c:pt>
                <c:pt idx="251">
                  <c:v>-2.9211474129845986E-3</c:v>
                </c:pt>
                <c:pt idx="252">
                  <c:v>-2.9554879160486472E-3</c:v>
                </c:pt>
                <c:pt idx="253">
                  <c:v>-2.9900184103682139E-3</c:v>
                </c:pt>
                <c:pt idx="254">
                  <c:v>-3.0247388096202011E-3</c:v>
                </c:pt>
                <c:pt idx="255">
                  <c:v>-3.0596490270067655E-3</c:v>
                </c:pt>
                <c:pt idx="256">
                  <c:v>-3.0947489752555356E-3</c:v>
                </c:pt>
                <c:pt idx="257">
                  <c:v>-3.1300385666198304E-3</c:v>
                </c:pt>
                <c:pt idx="258">
                  <c:v>-3.165517712878878E-3</c:v>
                </c:pt>
                <c:pt idx="259">
                  <c:v>-3.2011863253380369E-3</c:v>
                </c:pt>
                <c:pt idx="260">
                  <c:v>-3.2370443148290167E-3</c:v>
                </c:pt>
                <c:pt idx="261">
                  <c:v>-3.2730915917101025E-3</c:v>
                </c:pt>
                <c:pt idx="262">
                  <c:v>-3.3093280658663773E-3</c:v>
                </c:pt>
                <c:pt idx="263">
                  <c:v>-3.3457536467099481E-3</c:v>
                </c:pt>
                <c:pt idx="264">
                  <c:v>-3.3823682431801732E-3</c:v>
                </c:pt>
                <c:pt idx="265">
                  <c:v>-3.4191717637438884E-3</c:v>
                </c:pt>
                <c:pt idx="266">
                  <c:v>-3.4561641163956365E-3</c:v>
                </c:pt>
                <c:pt idx="267">
                  <c:v>-3.4933452086578966E-3</c:v>
                </c:pt>
                <c:pt idx="268">
                  <c:v>-3.5307149475813176E-3</c:v>
                </c:pt>
                <c:pt idx="269">
                  <c:v>-3.5682732397449473E-3</c:v>
                </c:pt>
                <c:pt idx="270">
                  <c:v>-3.6060199912564682E-3</c:v>
                </c:pt>
                <c:pt idx="271">
                  <c:v>-3.6439551077524315E-3</c:v>
                </c:pt>
                <c:pt idx="272">
                  <c:v>-3.6820784943984932E-3</c:v>
                </c:pt>
                <c:pt idx="273">
                  <c:v>-3.7203900558896502E-3</c:v>
                </c:pt>
                <c:pt idx="274">
                  <c:v>-3.7588896964504807E-3</c:v>
                </c:pt>
                <c:pt idx="275">
                  <c:v>-3.7975773198353816E-3</c:v>
                </c:pt>
                <c:pt idx="276">
                  <c:v>-3.8364528293288098E-3</c:v>
                </c:pt>
                <c:pt idx="277">
                  <c:v>-3.8755161277455237E-3</c:v>
                </c:pt>
                <c:pt idx="278">
                  <c:v>-3.9147671174308268E-3</c:v>
                </c:pt>
                <c:pt idx="279">
                  <c:v>-3.9542057002608117E-3</c:v>
                </c:pt>
                <c:pt idx="280">
                  <c:v>-3.9938317776426055E-3</c:v>
                </c:pt>
                <c:pt idx="281">
                  <c:v>-4.0336452505146149E-3</c:v>
                </c:pt>
                <c:pt idx="282">
                  <c:v>-4.0736460193467761E-3</c:v>
                </c:pt>
                <c:pt idx="283">
                  <c:v>-4.1138339841408009E-3</c:v>
                </c:pt>
                <c:pt idx="284">
                  <c:v>-4.1542090444304297E-3</c:v>
                </c:pt>
                <c:pt idx="285">
                  <c:v>-4.19477109928168E-3</c:v>
                </c:pt>
                <c:pt idx="286">
                  <c:v>-4.2355200472931013E-3</c:v>
                </c:pt>
                <c:pt idx="287">
                  <c:v>-4.2764557865960255E-3</c:v>
                </c:pt>
                <c:pt idx="288">
                  <c:v>-4.3175782148548248E-3</c:v>
                </c:pt>
                <c:pt idx="289">
                  <c:v>-4.3588872292671639E-3</c:v>
                </c:pt>
                <c:pt idx="290">
                  <c:v>-4.4003827265642614E-3</c:v>
                </c:pt>
                <c:pt idx="291">
                  <c:v>-4.4420646030111444E-3</c:v>
                </c:pt>
                <c:pt idx="292">
                  <c:v>-4.4839327544069097E-3</c:v>
                </c:pt>
                <c:pt idx="293">
                  <c:v>-4.5259870760849825E-3</c:v>
                </c:pt>
                <c:pt idx="294">
                  <c:v>-4.5682274629133806E-3</c:v>
                </c:pt>
                <c:pt idx="295">
                  <c:v>-4.6106538092949749E-3</c:v>
                </c:pt>
                <c:pt idx="296">
                  <c:v>-4.6532660091677547E-3</c:v>
                </c:pt>
                <c:pt idx="297">
                  <c:v>-4.6960639560050923E-3</c:v>
                </c:pt>
                <c:pt idx="298">
                  <c:v>-4.7390475428160097E-3</c:v>
                </c:pt>
                <c:pt idx="299">
                  <c:v>-4.7822166621454458E-3</c:v>
                </c:pt>
                <c:pt idx="300">
                  <c:v>-4.8255712060745245E-3</c:v>
                </c:pt>
                <c:pt idx="301">
                  <c:v>-4.8691110662208254E-3</c:v>
                </c:pt>
                <c:pt idx="302">
                  <c:v>-4.912836133738655E-3</c:v>
                </c:pt>
                <c:pt idx="303">
                  <c:v>-4.9567462993193173E-3</c:v>
                </c:pt>
                <c:pt idx="304">
                  <c:v>-5.0008414531913887E-3</c:v>
                </c:pt>
                <c:pt idx="305">
                  <c:v>-5.0451214851209908E-3</c:v>
                </c:pt>
                <c:pt idx="306">
                  <c:v>-5.0895862844120678E-3</c:v>
                </c:pt>
                <c:pt idx="307">
                  <c:v>-5.134235739906662E-3</c:v>
                </c:pt>
                <c:pt idx="308">
                  <c:v>-5.1790697399851917E-3</c:v>
                </c:pt>
                <c:pt idx="309">
                  <c:v>-5.22408817256673E-3</c:v>
                </c:pt>
                <c:pt idx="310">
                  <c:v>-5.2692909251092872E-3</c:v>
                </c:pt>
                <c:pt idx="311">
                  <c:v>-5.3146778846100886E-3</c:v>
                </c:pt>
                <c:pt idx="312">
                  <c:v>-5.3602489376058599E-3</c:v>
                </c:pt>
                <c:pt idx="313">
                  <c:v>-5.4060039701731098E-3</c:v>
                </c:pt>
                <c:pt idx="314">
                  <c:v>-5.4519428679284136E-3</c:v>
                </c:pt>
                <c:pt idx="315">
                  <c:v>-5.4980655160287023E-3</c:v>
                </c:pt>
                <c:pt idx="316">
                  <c:v>-5.544371799171546E-3</c:v>
                </c:pt>
                <c:pt idx="317">
                  <c:v>-5.5908616015954444E-3</c:v>
                </c:pt>
                <c:pt idx="318">
                  <c:v>-5.6375348070801167E-3</c:v>
                </c:pt>
                <c:pt idx="319">
                  <c:v>-5.6843912989467896E-3</c:v>
                </c:pt>
                <c:pt idx="320">
                  <c:v>-5.7314309600584911E-3</c:v>
                </c:pt>
                <c:pt idx="321">
                  <c:v>-5.7786536728203428E-3</c:v>
                </c:pt>
                <c:pt idx="322">
                  <c:v>-5.8260593191798542E-3</c:v>
                </c:pt>
                <c:pt idx="323">
                  <c:v>-5.8736477806272166E-3</c:v>
                </c:pt>
                <c:pt idx="324">
                  <c:v>-5.9214189381956014E-3</c:v>
                </c:pt>
                <c:pt idx="325">
                  <c:v>-5.9693726724614543E-3</c:v>
                </c:pt>
                <c:pt idx="326">
                  <c:v>-6.0175088635447977E-3</c:v>
                </c:pt>
                <c:pt idx="327">
                  <c:v>-6.0658273911095278E-3</c:v>
                </c:pt>
                <c:pt idx="328">
                  <c:v>-6.1143281343637168E-3</c:v>
                </c:pt>
                <c:pt idx="329">
                  <c:v>-6.1630109720599135E-3</c:v>
                </c:pt>
                <c:pt idx="330">
                  <c:v>-6.2118757824954464E-3</c:v>
                </c:pt>
                <c:pt idx="331">
                  <c:v>-6.2609224435127304E-3</c:v>
                </c:pt>
                <c:pt idx="332">
                  <c:v>-6.3101508324995698E-3</c:v>
                </c:pt>
                <c:pt idx="333">
                  <c:v>-6.3595608263894649E-3</c:v>
                </c:pt>
                <c:pt idx="334">
                  <c:v>-6.4091523016619207E-3</c:v>
                </c:pt>
                <c:pt idx="335">
                  <c:v>-6.4589251343427556E-3</c:v>
                </c:pt>
                <c:pt idx="336">
                  <c:v>-6.508879200004411E-3</c:v>
                </c:pt>
                <c:pt idx="337">
                  <c:v>-6.5590143737662612E-3</c:v>
                </c:pt>
                <c:pt idx="338">
                  <c:v>-6.6093305302949278E-3</c:v>
                </c:pt>
                <c:pt idx="339">
                  <c:v>-6.6598275438045909E-3</c:v>
                </c:pt>
                <c:pt idx="340">
                  <c:v>-6.7105052880573057E-3</c:v>
                </c:pt>
                <c:pt idx="341">
                  <c:v>-6.7613636363633173E-3</c:v>
                </c:pt>
                <c:pt idx="342">
                  <c:v>-6.8124024615813751E-3</c:v>
                </c:pt>
                <c:pt idx="343">
                  <c:v>-6.8636216361190544E-3</c:v>
                </c:pt>
                <c:pt idx="344">
                  <c:v>-6.9150210319330729E-3</c:v>
                </c:pt>
                <c:pt idx="345">
                  <c:v>-6.9666005205296115E-3</c:v>
                </c:pt>
                <c:pt idx="346">
                  <c:v>-7.018359972964636E-3</c:v>
                </c:pt>
                <c:pt idx="347">
                  <c:v>-7.0702992598442177E-3</c:v>
                </c:pt>
                <c:pt idx="348">
                  <c:v>-7.1224182513248595E-3</c:v>
                </c:pt>
                <c:pt idx="349">
                  <c:v>-7.1747168171138187E-3</c:v>
                </c:pt>
                <c:pt idx="350">
                  <c:v>-7.227194826469433E-3</c:v>
                </c:pt>
                <c:pt idx="351">
                  <c:v>-7.2798521482014475E-3</c:v>
                </c:pt>
                <c:pt idx="352">
                  <c:v>-7.3326886506713427E-3</c:v>
                </c:pt>
                <c:pt idx="353">
                  <c:v>-7.3857042017926632E-3</c:v>
                </c:pt>
                <c:pt idx="354">
                  <c:v>-7.4388986690313488E-3</c:v>
                </c:pt>
                <c:pt idx="355">
                  <c:v>-7.4922719194060652E-3</c:v>
                </c:pt>
                <c:pt idx="356">
                  <c:v>-7.5458238194885362E-3</c:v>
                </c:pt>
                <c:pt idx="357">
                  <c:v>-7.5995542354038775E-3</c:v>
                </c:pt>
                <c:pt idx="358">
                  <c:v>-7.6534630328309317E-3</c:v>
                </c:pt>
                <c:pt idx="359">
                  <c:v>-7.7075500770026045E-3</c:v>
                </c:pt>
                <c:pt idx="360">
                  <c:v>-7.761815232706199E-3</c:v>
                </c:pt>
                <c:pt idx="361">
                  <c:v>-7.8162583642837572E-3</c:v>
                </c:pt>
                <c:pt idx="362">
                  <c:v>-7.8708793356323976E-3</c:v>
                </c:pt>
                <c:pt idx="363">
                  <c:v>-7.9256780102046551E-3</c:v>
                </c:pt>
                <c:pt idx="364">
                  <c:v>-7.9806542510088233E-3</c:v>
                </c:pt>
                <c:pt idx="365">
                  <c:v>-8.0358079206092944E-3</c:v>
                </c:pt>
                <c:pt idx="366">
                  <c:v>-8.091138881126907E-3</c:v>
                </c:pt>
                <c:pt idx="367">
                  <c:v>-8.1466469942392868E-3</c:v>
                </c:pt>
                <c:pt idx="368">
                  <c:v>-8.2023321211811967E-3</c:v>
                </c:pt>
                <c:pt idx="369">
                  <c:v>-8.2581941227448767E-3</c:v>
                </c:pt>
                <c:pt idx="370">
                  <c:v>-8.3142328592803998E-3</c:v>
                </c:pt>
                <c:pt idx="371">
                  <c:v>-8.3704481906960171E-3</c:v>
                </c:pt>
                <c:pt idx="372">
                  <c:v>-8.426839976458508E-3</c:v>
                </c:pt>
                <c:pt idx="373">
                  <c:v>-8.4834080755935327E-3</c:v>
                </c:pt>
                <c:pt idx="374">
                  <c:v>-8.5401523466859842E-3</c:v>
                </c:pt>
                <c:pt idx="375">
                  <c:v>-8.5970726478803387E-3</c:v>
                </c:pt>
                <c:pt idx="376">
                  <c:v>-8.6541688368810179E-3</c:v>
                </c:pt>
                <c:pt idx="377">
                  <c:v>-8.7114407709527365E-3</c:v>
                </c:pt>
                <c:pt idx="378">
                  <c:v>-8.7688883069208627E-3</c:v>
                </c:pt>
                <c:pt idx="379">
                  <c:v>-8.8265113011717772E-3</c:v>
                </c:pt>
                <c:pt idx="380">
                  <c:v>-8.8843096096532306E-3</c:v>
                </c:pt>
                <c:pt idx="381">
                  <c:v>-8.9422830878747028E-3</c:v>
                </c:pt>
                <c:pt idx="382">
                  <c:v>-9.0004315909077669E-3</c:v>
                </c:pt>
                <c:pt idx="383">
                  <c:v>-9.05875497338645E-3</c:v>
                </c:pt>
                <c:pt idx="384">
                  <c:v>-9.1172530895075946E-3</c:v>
                </c:pt>
                <c:pt idx="385">
                  <c:v>-9.1759257930312255E-3</c:v>
                </c:pt>
                <c:pt idx="386">
                  <c:v>-9.2347729372809148E-3</c:v>
                </c:pt>
                <c:pt idx="387">
                  <c:v>-9.2937943751441512E-3</c:v>
                </c:pt>
                <c:pt idx="388">
                  <c:v>-9.3529899590727023E-3</c:v>
                </c:pt>
                <c:pt idx="389">
                  <c:v>-9.4123595410829861E-3</c:v>
                </c:pt>
                <c:pt idx="390">
                  <c:v>-9.4719029727564439E-3</c:v>
                </c:pt>
                <c:pt idx="391">
                  <c:v>-9.5316201052399064E-3</c:v>
                </c:pt>
                <c:pt idx="392">
                  <c:v>-9.5915107892459682E-3</c:v>
                </c:pt>
                <c:pt idx="393">
                  <c:v>-9.6515748750533609E-3</c:v>
                </c:pt>
                <c:pt idx="394">
                  <c:v>-9.7118122125073297E-3</c:v>
                </c:pt>
                <c:pt idx="395">
                  <c:v>-9.7722226510200041E-3</c:v>
                </c:pt>
                <c:pt idx="396">
                  <c:v>-9.8328060395707767E-3</c:v>
                </c:pt>
                <c:pt idx="397">
                  <c:v>-9.893562226706681E-3</c:v>
                </c:pt>
                <c:pt idx="398">
                  <c:v>-9.9544910605427698E-3</c:v>
                </c:pt>
                <c:pt idx="399">
                  <c:v>-1.0015592388762495E-2</c:v>
                </c:pt>
                <c:pt idx="400">
                  <c:v>-1.0076866058618088E-2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FB-453A-94D6-08E74F2D1B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3241152"/>
        <c:axId val="1301037488"/>
      </c:scatterChart>
      <c:scatterChart>
        <c:scatterStyle val="lineMarker"/>
        <c:varyColors val="0"/>
        <c:ser>
          <c:idx val="1"/>
          <c:order val="1"/>
          <c:tx>
            <c:v>Robot Init Position</c:v>
          </c:tx>
          <c:spPr>
            <a:ln w="28575" cap="rnd">
              <a:solidFill>
                <a:schemeClr val="bg1">
                  <a:lumMod val="65000"/>
                </a:schemeClr>
              </a:solidFill>
              <a:round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xVal>
            <c:numRef>
              <c:f>上から見たプリン!$U$3:$U$13</c:f>
              <c:numCache>
                <c:formatCode>0.000_ </c:formatCode>
                <c:ptCount val="11"/>
                <c:pt idx="0">
                  <c:v>-0.04</c:v>
                </c:pt>
                <c:pt idx="1">
                  <c:v>0.09</c:v>
                </c:pt>
                <c:pt idx="2">
                  <c:v>0.09</c:v>
                </c:pt>
                <c:pt idx="3">
                  <c:v>-0.04</c:v>
                </c:pt>
                <c:pt idx="4">
                  <c:v>-0.04</c:v>
                </c:pt>
                <c:pt idx="6">
                  <c:v>-0.04</c:v>
                </c:pt>
                <c:pt idx="7">
                  <c:v>0.04</c:v>
                </c:pt>
                <c:pt idx="9">
                  <c:v>-0.04</c:v>
                </c:pt>
                <c:pt idx="10">
                  <c:v>0.04</c:v>
                </c:pt>
              </c:numCache>
            </c:numRef>
          </c:xVal>
          <c:yVal>
            <c:numRef>
              <c:f>上から見たプリン!$V$3:$V$13</c:f>
              <c:numCache>
                <c:formatCode>0.000_ </c:formatCode>
                <c:ptCount val="11"/>
                <c:pt idx="0">
                  <c:v>0.05</c:v>
                </c:pt>
                <c:pt idx="1">
                  <c:v>0.05</c:v>
                </c:pt>
                <c:pt idx="2">
                  <c:v>-0.05</c:v>
                </c:pt>
                <c:pt idx="3">
                  <c:v>-0.05</c:v>
                </c:pt>
                <c:pt idx="4">
                  <c:v>0.05</c:v>
                </c:pt>
                <c:pt idx="6">
                  <c:v>7.0000000000000007E-2</c:v>
                </c:pt>
                <c:pt idx="7">
                  <c:v>7.0000000000000007E-2</c:v>
                </c:pt>
                <c:pt idx="9">
                  <c:v>-7.0000000000000007E-2</c:v>
                </c:pt>
                <c:pt idx="10">
                  <c:v>-7.0000000000000007E-2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3FB-453A-94D6-08E74F2D1BFB}"/>
            </c:ext>
          </c:extLst>
        </c:ser>
        <c:ser>
          <c:idx val="2"/>
          <c:order val="2"/>
          <c:tx>
            <c:v>Realtime Robot</c:v>
          </c:tx>
          <c:spPr>
            <a:ln w="31750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上から見たプリン!$X$3:$X$13</c:f>
              <c:numCache>
                <c:formatCode>0.000_ </c:formatCode>
                <c:ptCount val="11"/>
                <c:pt idx="0">
                  <c:v>8.08</c:v>
                </c:pt>
                <c:pt idx="1">
                  <c:v>8.2099999999999991</c:v>
                </c:pt>
                <c:pt idx="2">
                  <c:v>8.2099999999999991</c:v>
                </c:pt>
                <c:pt idx="3">
                  <c:v>8.08</c:v>
                </c:pt>
                <c:pt idx="4">
                  <c:v>8.08</c:v>
                </c:pt>
                <c:pt idx="6">
                  <c:v>8.08</c:v>
                </c:pt>
                <c:pt idx="7">
                  <c:v>8.1599999999999984</c:v>
                </c:pt>
                <c:pt idx="9">
                  <c:v>8.08</c:v>
                </c:pt>
                <c:pt idx="10">
                  <c:v>8.1599999999999984</c:v>
                </c:pt>
              </c:numCache>
            </c:numRef>
          </c:xVal>
          <c:yVal>
            <c:numRef>
              <c:f>上から見たプリン!$Y$3:$Y$13</c:f>
              <c:numCache>
                <c:formatCode>General</c:formatCode>
                <c:ptCount val="11"/>
                <c:pt idx="0">
                  <c:v>0.05</c:v>
                </c:pt>
                <c:pt idx="1">
                  <c:v>0.05</c:v>
                </c:pt>
                <c:pt idx="2">
                  <c:v>-0.05</c:v>
                </c:pt>
                <c:pt idx="3">
                  <c:v>-0.05</c:v>
                </c:pt>
                <c:pt idx="4">
                  <c:v>0.05</c:v>
                </c:pt>
                <c:pt idx="6">
                  <c:v>7.0000000000000007E-2</c:v>
                </c:pt>
                <c:pt idx="7">
                  <c:v>7.0000000000000007E-2</c:v>
                </c:pt>
                <c:pt idx="9">
                  <c:v>-7.0000000000000007E-2</c:v>
                </c:pt>
                <c:pt idx="10">
                  <c:v>-7.0000000000000007E-2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3FB-453A-94D6-08E74F2D1B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3241152"/>
        <c:axId val="1301037488"/>
      </c:scatterChart>
      <c:valAx>
        <c:axId val="1303241152"/>
        <c:scaling>
          <c:orientation val="minMax"/>
          <c:max val="0.60000000000000009"/>
          <c:min val="-0.6000000000000000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_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01037488"/>
        <c:crosses val="autoZero"/>
        <c:crossBetween val="midCat"/>
      </c:valAx>
      <c:valAx>
        <c:axId val="1301037488"/>
        <c:scaling>
          <c:orientation val="minMax"/>
          <c:max val="0.60000000000000009"/>
          <c:min val="-0.6000000000000000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_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03241152"/>
        <c:crosses val="autoZero"/>
        <c:crossBetween val="midCat"/>
      </c:valAx>
      <c:spPr>
        <a:solidFill>
          <a:srgbClr val="CCFFCC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398860</xdr:colOff>
      <xdr:row>3</xdr:row>
      <xdr:rowOff>235742</xdr:rowOff>
    </xdr:from>
    <xdr:to>
      <xdr:col>18</xdr:col>
      <xdr:colOff>892969</xdr:colOff>
      <xdr:row>20</xdr:row>
      <xdr:rowOff>238124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C50B4ED3-8EB4-4671-A540-23C9BE8685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18</xdr:col>
      <xdr:colOff>130969</xdr:colOff>
      <xdr:row>17</xdr:row>
      <xdr:rowOff>47625</xdr:rowOff>
    </xdr:from>
    <xdr:to>
      <xdr:col>18</xdr:col>
      <xdr:colOff>604899</xdr:colOff>
      <xdr:row>21</xdr:row>
      <xdr:rowOff>11906</xdr:rowOff>
    </xdr:to>
    <xdr:pic macro="[0]!MobileRbtAnimation">
      <xdr:nvPicPr>
        <xdr:cNvPr id="4" name="図 3">
          <a:extLst>
            <a:ext uri="{FF2B5EF4-FFF2-40B4-BE49-F238E27FC236}">
              <a16:creationId xmlns:a16="http://schemas.microsoft.com/office/drawing/2014/main" id="{4DBB8C7D-9CA3-4B2B-B96E-C2BBBDDBA2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77625" y="4321969"/>
          <a:ext cx="473930" cy="916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398860</xdr:colOff>
      <xdr:row>4</xdr:row>
      <xdr:rowOff>418</xdr:rowOff>
    </xdr:from>
    <xdr:to>
      <xdr:col>18</xdr:col>
      <xdr:colOff>892969</xdr:colOff>
      <xdr:row>21</xdr:row>
      <xdr:rowOff>2800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483D7D23-D4A1-4B39-92FA-9C09B8167D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18</xdr:col>
      <xdr:colOff>130969</xdr:colOff>
      <xdr:row>17</xdr:row>
      <xdr:rowOff>47625</xdr:rowOff>
    </xdr:from>
    <xdr:to>
      <xdr:col>18</xdr:col>
      <xdr:colOff>604899</xdr:colOff>
      <xdr:row>21</xdr:row>
      <xdr:rowOff>11906</xdr:rowOff>
    </xdr:to>
    <xdr:pic macro="[0]!MobileRbtAnimation">
      <xdr:nvPicPr>
        <xdr:cNvPr id="3" name="図 3">
          <a:extLst>
            <a:ext uri="{FF2B5EF4-FFF2-40B4-BE49-F238E27FC236}">
              <a16:creationId xmlns:a16="http://schemas.microsoft.com/office/drawing/2014/main" id="{F0433F05-7818-4196-AD6B-0D468705D4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93616" y="4283449"/>
          <a:ext cx="473930" cy="9055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EF400D-B16C-4A34-989C-31CBE7A0F769}">
  <sheetPr codeName="Sheet1"/>
  <dimension ref="A1:Y402"/>
  <sheetViews>
    <sheetView zoomScale="80" zoomScaleNormal="80" workbookViewId="0">
      <pane ySplit="1" topLeftCell="A2" activePane="bottomLeft" state="frozen"/>
      <selection pane="bottomLeft" activeCell="B25" sqref="B25"/>
    </sheetView>
  </sheetViews>
  <sheetFormatPr defaultRowHeight="18.75" x14ac:dyDescent="0.4"/>
  <cols>
    <col min="1" max="1" width="7.625" style="1" customWidth="1"/>
    <col min="2" max="3" width="9" style="1"/>
    <col min="4" max="4" width="9.625" style="1" bestFit="1" customWidth="1"/>
    <col min="5" max="6" width="9" style="1"/>
    <col min="7" max="8" width="9" style="4"/>
    <col min="9" max="9" width="9" style="3"/>
    <col min="10" max="11" width="9" style="2"/>
    <col min="12" max="13" width="9" style="4"/>
    <col min="16" max="16" width="11.5" customWidth="1"/>
    <col min="18" max="18" width="11.875" customWidth="1"/>
    <col min="19" max="19" width="17.125" customWidth="1"/>
  </cols>
  <sheetData>
    <row r="1" spans="1:25" ht="36.75" customHeight="1" x14ac:dyDescent="0.4">
      <c r="A1" s="18" t="s">
        <v>8</v>
      </c>
      <c r="B1" s="19" t="s">
        <v>9</v>
      </c>
      <c r="C1" s="19" t="s">
        <v>10</v>
      </c>
      <c r="D1" s="19" t="s">
        <v>22</v>
      </c>
      <c r="E1" s="19" t="s">
        <v>23</v>
      </c>
      <c r="F1" s="19" t="s">
        <v>11</v>
      </c>
      <c r="G1" s="20" t="s">
        <v>12</v>
      </c>
      <c r="H1" s="20" t="s">
        <v>13</v>
      </c>
      <c r="I1" s="21" t="s">
        <v>14</v>
      </c>
      <c r="J1" s="22" t="s">
        <v>0</v>
      </c>
      <c r="K1" s="22" t="s">
        <v>1</v>
      </c>
      <c r="L1" s="20" t="s">
        <v>15</v>
      </c>
      <c r="M1" s="23" t="s">
        <v>16</v>
      </c>
      <c r="N1" s="24" t="s">
        <v>17</v>
      </c>
      <c r="O1" s="25" t="s">
        <v>20</v>
      </c>
      <c r="P1" s="26" t="s">
        <v>18</v>
      </c>
      <c r="Q1" s="27"/>
      <c r="R1" s="28" t="s">
        <v>19</v>
      </c>
      <c r="U1" s="16" t="s">
        <v>4</v>
      </c>
      <c r="V1" s="17"/>
      <c r="X1" s="16" t="s">
        <v>21</v>
      </c>
    </row>
    <row r="2" spans="1:25" x14ac:dyDescent="0.4">
      <c r="A2" s="9">
        <v>0</v>
      </c>
      <c r="B2" s="10">
        <v>0</v>
      </c>
      <c r="C2" s="10">
        <v>0</v>
      </c>
      <c r="D2" s="10"/>
      <c r="E2" s="10"/>
      <c r="F2" s="10">
        <v>0</v>
      </c>
      <c r="G2" s="11">
        <v>0</v>
      </c>
      <c r="H2" s="11">
        <v>0</v>
      </c>
      <c r="I2" s="12">
        <v>0</v>
      </c>
      <c r="J2" s="13">
        <f>COS(H2)</f>
        <v>1</v>
      </c>
      <c r="K2" s="13">
        <f>SIN(H2)</f>
        <v>0</v>
      </c>
      <c r="L2" s="11">
        <v>0</v>
      </c>
      <c r="M2" s="14">
        <v>0</v>
      </c>
      <c r="N2" s="8" t="s">
        <v>7</v>
      </c>
      <c r="O2" s="15">
        <f>COUNT(A1:A10000)+1</f>
        <v>402</v>
      </c>
      <c r="P2" s="29" t="s">
        <v>5</v>
      </c>
      <c r="Q2" s="30"/>
      <c r="R2" s="29" t="s">
        <v>6</v>
      </c>
      <c r="U2" s="5" t="s">
        <v>2</v>
      </c>
      <c r="V2" s="5" t="s">
        <v>3</v>
      </c>
      <c r="W2" s="5" t="s">
        <v>2</v>
      </c>
      <c r="X2" s="5" t="s">
        <v>3</v>
      </c>
    </row>
    <row r="3" spans="1:25" x14ac:dyDescent="0.4">
      <c r="A3" s="1">
        <f>A2+$P$3</f>
        <v>0.05</v>
      </c>
      <c r="B3" s="1">
        <f>B2+D3*$P$3</f>
        <v>7.5000000000000011E-2</v>
      </c>
      <c r="C3" s="1">
        <f>0.07</f>
        <v>7.0000000000000007E-2</v>
      </c>
      <c r="D3" s="1">
        <v>1.5</v>
      </c>
      <c r="E3" s="1">
        <f>(C3-C2)/$P$3</f>
        <v>1.4000000000000001</v>
      </c>
      <c r="F3" s="1">
        <f>(B3+C3)/2</f>
        <v>7.2500000000000009E-2</v>
      </c>
      <c r="G3" s="4">
        <f>(B3-C3)/R$3</f>
        <v>3.4826217176290343E-2</v>
      </c>
      <c r="H3" s="4">
        <f>H2+G3*P$3</f>
        <v>1.7413108588145172E-3</v>
      </c>
      <c r="I3" s="3">
        <f>H3*180/PI()</f>
        <v>9.9769763030372605E-2</v>
      </c>
      <c r="J3" s="2">
        <f>COS((H3+H2)/2)</f>
        <v>0.99999962097958561</v>
      </c>
      <c r="K3" s="2">
        <f>SIN((H3+H2)/2)</f>
        <v>8.7065531940852862E-4</v>
      </c>
      <c r="L3" s="4">
        <f>L2+F3*P$3*J3</f>
        <v>3.6249986260509983E-3</v>
      </c>
      <c r="M3" s="4">
        <f>M2+F3*P$3*K3</f>
        <v>3.1561255328559167E-6</v>
      </c>
      <c r="P3" s="29">
        <v>0.05</v>
      </c>
      <c r="Q3" s="30"/>
      <c r="R3" s="29">
        <v>0.14357</v>
      </c>
      <c r="U3" s="6">
        <v>-0.04</v>
      </c>
      <c r="V3" s="6">
        <v>0.05</v>
      </c>
      <c r="X3" s="31">
        <v>8.08</v>
      </c>
      <c r="Y3" s="33">
        <v>0.05</v>
      </c>
    </row>
    <row r="4" spans="1:25" x14ac:dyDescent="0.4">
      <c r="A4" s="1">
        <f t="shared" ref="A4:A67" si="0">A3+$P$3</f>
        <v>0.1</v>
      </c>
      <c r="B4" s="1">
        <f>B3+D4*$P$3</f>
        <v>0.15000000000000002</v>
      </c>
      <c r="C4" s="1">
        <v>0.14000000000000001</v>
      </c>
      <c r="D4" s="1">
        <v>1.5</v>
      </c>
      <c r="E4" s="1">
        <f t="shared" ref="E4:E67" si="1">(C4-C3)/$P$3</f>
        <v>1.4000000000000001</v>
      </c>
      <c r="F4" s="1">
        <f t="shared" ref="F4:F67" si="2">(B4+C4)/2</f>
        <v>0.14500000000000002</v>
      </c>
      <c r="G4" s="4">
        <f t="shared" ref="G4:G67" si="3">(B4-C4)/R$3</f>
        <v>6.9652434352580686E-2</v>
      </c>
      <c r="H4" s="4">
        <f t="shared" ref="H4:H67" si="4">H3+G4*P$3</f>
        <v>5.2239325764435515E-3</v>
      </c>
      <c r="I4" s="3">
        <f t="shared" ref="I4:I67" si="5">H4*180/PI()</f>
        <v>0.29930928909111776</v>
      </c>
      <c r="J4" s="2">
        <f t="shared" ref="J4:J67" si="6">COS((H4+H3)/2)</f>
        <v>0.99999393567911532</v>
      </c>
      <c r="K4" s="2">
        <f t="shared" ref="K4:K67" si="7">SIN((H4+H3)/2)</f>
        <v>3.4826146777143163E-3</v>
      </c>
      <c r="L4" s="4">
        <f t="shared" ref="L4:L67" si="8">L3+F4*P$3*J4</f>
        <v>1.0874954659724587E-2</v>
      </c>
      <c r="M4" s="4">
        <f t="shared" ref="M4:M67" si="9">M3+F4*P$3*K4</f>
        <v>2.8405081946284715E-5</v>
      </c>
      <c r="U4" s="6">
        <v>0.09</v>
      </c>
      <c r="V4" s="6">
        <v>0.05</v>
      </c>
      <c r="X4" s="31">
        <v>8.2099999999999991</v>
      </c>
      <c r="Y4" s="33">
        <v>0.05</v>
      </c>
    </row>
    <row r="5" spans="1:25" x14ac:dyDescent="0.4">
      <c r="A5" s="1">
        <f t="shared" si="0"/>
        <v>0.15000000000000002</v>
      </c>
      <c r="B5" s="1">
        <v>0.2</v>
      </c>
      <c r="C5" s="1">
        <v>0.2</v>
      </c>
      <c r="D5" s="1">
        <f t="shared" ref="D5:D67" si="10">(B5-B4)/$P$3</f>
        <v>0.99999999999999978</v>
      </c>
      <c r="E5" s="1">
        <f t="shared" si="1"/>
        <v>1.2</v>
      </c>
      <c r="F5" s="1">
        <f t="shared" si="2"/>
        <v>0.2</v>
      </c>
      <c r="G5" s="4">
        <f t="shared" si="3"/>
        <v>0</v>
      </c>
      <c r="H5" s="4">
        <f t="shared" si="4"/>
        <v>5.2239325764435515E-3</v>
      </c>
      <c r="I5" s="3">
        <f t="shared" si="5"/>
        <v>0.29930928909111776</v>
      </c>
      <c r="J5" s="2">
        <f t="shared" si="6"/>
        <v>0.99998635529524815</v>
      </c>
      <c r="K5" s="2">
        <f t="shared" si="7"/>
        <v>5.2239088167493888E-3</v>
      </c>
      <c r="L5" s="4">
        <f t="shared" si="8"/>
        <v>2.087481821267707E-2</v>
      </c>
      <c r="M5" s="4">
        <f t="shared" si="9"/>
        <v>8.0644170113778609E-5</v>
      </c>
      <c r="U5" s="6">
        <v>0.09</v>
      </c>
      <c r="V5" s="6">
        <v>-0.05</v>
      </c>
      <c r="X5" s="31">
        <v>8.2099999999999991</v>
      </c>
      <c r="Y5" s="33">
        <v>-0.05</v>
      </c>
    </row>
    <row r="6" spans="1:25" x14ac:dyDescent="0.4">
      <c r="A6" s="1">
        <f t="shared" si="0"/>
        <v>0.2</v>
      </c>
      <c r="B6" s="1">
        <f t="shared" ref="B6:B22" si="11">B5</f>
        <v>0.2</v>
      </c>
      <c r="C6" s="1">
        <v>0.2</v>
      </c>
      <c r="D6" s="1">
        <f t="shared" si="10"/>
        <v>0</v>
      </c>
      <c r="E6" s="1">
        <f t="shared" si="1"/>
        <v>0</v>
      </c>
      <c r="F6" s="1">
        <f t="shared" si="2"/>
        <v>0.2</v>
      </c>
      <c r="G6" s="4">
        <f t="shared" si="3"/>
        <v>0</v>
      </c>
      <c r="H6" s="4">
        <f t="shared" si="4"/>
        <v>5.2239325764435515E-3</v>
      </c>
      <c r="I6" s="3">
        <f t="shared" si="5"/>
        <v>0.29930928909111776</v>
      </c>
      <c r="J6" s="2">
        <f t="shared" si="6"/>
        <v>0.99998635529524815</v>
      </c>
      <c r="K6" s="2">
        <f t="shared" si="7"/>
        <v>5.2239088167493888E-3</v>
      </c>
      <c r="L6" s="4">
        <f t="shared" si="8"/>
        <v>3.0874681765629554E-2</v>
      </c>
      <c r="M6" s="4">
        <f t="shared" si="9"/>
        <v>1.3288325828127252E-4</v>
      </c>
      <c r="U6" s="6">
        <v>-0.04</v>
      </c>
      <c r="V6" s="6">
        <v>-0.05</v>
      </c>
      <c r="X6" s="31">
        <v>8.08</v>
      </c>
      <c r="Y6" s="33">
        <v>-0.05</v>
      </c>
    </row>
    <row r="7" spans="1:25" x14ac:dyDescent="0.4">
      <c r="A7" s="1">
        <f t="shared" si="0"/>
        <v>0.25</v>
      </c>
      <c r="B7" s="1">
        <f t="shared" si="11"/>
        <v>0.2</v>
      </c>
      <c r="C7" s="1">
        <v>0.2</v>
      </c>
      <c r="D7" s="1">
        <f t="shared" si="10"/>
        <v>0</v>
      </c>
      <c r="E7" s="1">
        <f t="shared" si="1"/>
        <v>0</v>
      </c>
      <c r="F7" s="1">
        <f t="shared" si="2"/>
        <v>0.2</v>
      </c>
      <c r="G7" s="4">
        <f t="shared" si="3"/>
        <v>0</v>
      </c>
      <c r="H7" s="4">
        <f t="shared" si="4"/>
        <v>5.2239325764435515E-3</v>
      </c>
      <c r="I7" s="3">
        <f t="shared" si="5"/>
        <v>0.29930928909111776</v>
      </c>
      <c r="J7" s="2">
        <f t="shared" si="6"/>
        <v>0.99998635529524815</v>
      </c>
      <c r="K7" s="2">
        <f t="shared" si="7"/>
        <v>5.2239088167493888E-3</v>
      </c>
      <c r="L7" s="4">
        <f t="shared" si="8"/>
        <v>4.0874545318582034E-2</v>
      </c>
      <c r="M7" s="4">
        <f t="shared" si="9"/>
        <v>1.8512234644876642E-4</v>
      </c>
      <c r="U7" s="6">
        <v>-0.04</v>
      </c>
      <c r="V7" s="6">
        <v>0.05</v>
      </c>
      <c r="X7" s="31">
        <v>8.08</v>
      </c>
      <c r="Y7" s="33">
        <v>0.05</v>
      </c>
    </row>
    <row r="8" spans="1:25" x14ac:dyDescent="0.4">
      <c r="A8" s="1">
        <f t="shared" si="0"/>
        <v>0.3</v>
      </c>
      <c r="B8" s="1">
        <f t="shared" si="11"/>
        <v>0.2</v>
      </c>
      <c r="C8" s="1">
        <v>0.2</v>
      </c>
      <c r="D8" s="1">
        <f t="shared" si="10"/>
        <v>0</v>
      </c>
      <c r="E8" s="1">
        <f t="shared" si="1"/>
        <v>0</v>
      </c>
      <c r="F8" s="1">
        <f t="shared" si="2"/>
        <v>0.2</v>
      </c>
      <c r="G8" s="4">
        <f t="shared" si="3"/>
        <v>0</v>
      </c>
      <c r="H8" s="4">
        <f t="shared" si="4"/>
        <v>5.2239325764435515E-3</v>
      </c>
      <c r="I8" s="3">
        <f t="shared" si="5"/>
        <v>0.29930928909111776</v>
      </c>
      <c r="J8" s="2">
        <f t="shared" si="6"/>
        <v>0.99998635529524815</v>
      </c>
      <c r="K8" s="2">
        <f t="shared" si="7"/>
        <v>5.2239088167493888E-3</v>
      </c>
      <c r="L8" s="4">
        <f t="shared" si="8"/>
        <v>5.0874408871534521E-2</v>
      </c>
      <c r="M8" s="4">
        <f t="shared" si="9"/>
        <v>2.3736143461626033E-4</v>
      </c>
      <c r="U8" s="7"/>
      <c r="V8" s="7"/>
      <c r="X8" s="32"/>
      <c r="Y8" s="34"/>
    </row>
    <row r="9" spans="1:25" x14ac:dyDescent="0.4">
      <c r="A9" s="1">
        <f t="shared" si="0"/>
        <v>0.35</v>
      </c>
      <c r="B9" s="1">
        <f t="shared" si="11"/>
        <v>0.2</v>
      </c>
      <c r="C9" s="1">
        <v>0.2</v>
      </c>
      <c r="D9" s="1">
        <f t="shared" si="10"/>
        <v>0</v>
      </c>
      <c r="E9" s="1">
        <f t="shared" si="1"/>
        <v>0</v>
      </c>
      <c r="F9" s="1">
        <f t="shared" si="2"/>
        <v>0.2</v>
      </c>
      <c r="G9" s="4">
        <f t="shared" si="3"/>
        <v>0</v>
      </c>
      <c r="H9" s="4">
        <f t="shared" si="4"/>
        <v>5.2239325764435515E-3</v>
      </c>
      <c r="I9" s="3">
        <f t="shared" si="5"/>
        <v>0.29930928909111776</v>
      </c>
      <c r="J9" s="2">
        <f t="shared" si="6"/>
        <v>0.99998635529524815</v>
      </c>
      <c r="K9" s="2">
        <f t="shared" si="7"/>
        <v>5.2239088167493888E-3</v>
      </c>
      <c r="L9" s="4">
        <f t="shared" si="8"/>
        <v>6.0874272424487008E-2</v>
      </c>
      <c r="M9" s="4">
        <f t="shared" si="9"/>
        <v>2.8960052278375421E-4</v>
      </c>
      <c r="U9" s="6">
        <v>-0.04</v>
      </c>
      <c r="V9" s="6">
        <v>7.0000000000000007E-2</v>
      </c>
      <c r="X9" s="31">
        <v>8.08</v>
      </c>
      <c r="Y9" s="33">
        <v>7.0000000000000007E-2</v>
      </c>
    </row>
    <row r="10" spans="1:25" x14ac:dyDescent="0.4">
      <c r="A10" s="1">
        <f t="shared" si="0"/>
        <v>0.39999999999999997</v>
      </c>
      <c r="B10" s="1">
        <f t="shared" si="11"/>
        <v>0.2</v>
      </c>
      <c r="C10" s="1">
        <v>0.2</v>
      </c>
      <c r="D10" s="1">
        <f t="shared" si="10"/>
        <v>0</v>
      </c>
      <c r="E10" s="1">
        <f t="shared" si="1"/>
        <v>0</v>
      </c>
      <c r="F10" s="1">
        <f t="shared" si="2"/>
        <v>0.2</v>
      </c>
      <c r="G10" s="4">
        <f t="shared" si="3"/>
        <v>0</v>
      </c>
      <c r="H10" s="4">
        <f t="shared" si="4"/>
        <v>5.2239325764435515E-3</v>
      </c>
      <c r="I10" s="3">
        <f t="shared" si="5"/>
        <v>0.29930928909111776</v>
      </c>
      <c r="J10" s="2">
        <f t="shared" si="6"/>
        <v>0.99998635529524815</v>
      </c>
      <c r="K10" s="2">
        <f t="shared" si="7"/>
        <v>5.2239088167493888E-3</v>
      </c>
      <c r="L10" s="4">
        <f t="shared" si="8"/>
        <v>7.0874135977439495E-2</v>
      </c>
      <c r="M10" s="4">
        <f t="shared" si="9"/>
        <v>3.4183961095124812E-4</v>
      </c>
      <c r="U10" s="6">
        <v>0.04</v>
      </c>
      <c r="V10" s="6">
        <v>7.0000000000000007E-2</v>
      </c>
      <c r="X10" s="31">
        <v>8.1599999999999984</v>
      </c>
      <c r="Y10" s="33">
        <v>7.0000000000000007E-2</v>
      </c>
    </row>
    <row r="11" spans="1:25" x14ac:dyDescent="0.4">
      <c r="A11" s="1">
        <f t="shared" si="0"/>
        <v>0.44999999999999996</v>
      </c>
      <c r="B11" s="1">
        <f t="shared" si="11"/>
        <v>0.2</v>
      </c>
      <c r="C11" s="1">
        <v>0.2</v>
      </c>
      <c r="D11" s="1">
        <f t="shared" si="10"/>
        <v>0</v>
      </c>
      <c r="E11" s="1">
        <f t="shared" si="1"/>
        <v>0</v>
      </c>
      <c r="F11" s="1">
        <f t="shared" si="2"/>
        <v>0.2</v>
      </c>
      <c r="G11" s="4">
        <f t="shared" si="3"/>
        <v>0</v>
      </c>
      <c r="H11" s="4">
        <f t="shared" si="4"/>
        <v>5.2239325764435515E-3</v>
      </c>
      <c r="I11" s="3">
        <f t="shared" si="5"/>
        <v>0.29930928909111776</v>
      </c>
      <c r="J11" s="2">
        <f t="shared" si="6"/>
        <v>0.99998635529524815</v>
      </c>
      <c r="K11" s="2">
        <f t="shared" si="7"/>
        <v>5.2239088167493888E-3</v>
      </c>
      <c r="L11" s="4">
        <f t="shared" si="8"/>
        <v>8.0873999530391982E-2</v>
      </c>
      <c r="M11" s="4">
        <f t="shared" si="9"/>
        <v>3.9407869911874203E-4</v>
      </c>
      <c r="U11" s="7"/>
      <c r="V11" s="7"/>
      <c r="X11" s="32"/>
      <c r="Y11" s="34"/>
    </row>
    <row r="12" spans="1:25" x14ac:dyDescent="0.4">
      <c r="A12" s="1">
        <f t="shared" si="0"/>
        <v>0.49999999999999994</v>
      </c>
      <c r="B12" s="1">
        <f t="shared" si="11"/>
        <v>0.2</v>
      </c>
      <c r="C12" s="1">
        <v>0.2</v>
      </c>
      <c r="D12" s="1">
        <f t="shared" si="10"/>
        <v>0</v>
      </c>
      <c r="E12" s="1">
        <f t="shared" si="1"/>
        <v>0</v>
      </c>
      <c r="F12" s="1">
        <f t="shared" si="2"/>
        <v>0.2</v>
      </c>
      <c r="G12" s="4">
        <f t="shared" si="3"/>
        <v>0</v>
      </c>
      <c r="H12" s="4">
        <f t="shared" si="4"/>
        <v>5.2239325764435515E-3</v>
      </c>
      <c r="I12" s="3">
        <f t="shared" si="5"/>
        <v>0.29930928909111776</v>
      </c>
      <c r="J12" s="2">
        <f t="shared" si="6"/>
        <v>0.99998635529524815</v>
      </c>
      <c r="K12" s="2">
        <f t="shared" si="7"/>
        <v>5.2239088167493888E-3</v>
      </c>
      <c r="L12" s="4">
        <f t="shared" si="8"/>
        <v>9.0873863083344469E-2</v>
      </c>
      <c r="M12" s="4">
        <f t="shared" si="9"/>
        <v>4.4631778728623594E-4</v>
      </c>
      <c r="U12" s="6">
        <v>-0.04</v>
      </c>
      <c r="V12" s="6">
        <v>-7.0000000000000007E-2</v>
      </c>
      <c r="X12" s="31">
        <v>8.08</v>
      </c>
      <c r="Y12" s="33">
        <v>-7.0000000000000007E-2</v>
      </c>
    </row>
    <row r="13" spans="1:25" x14ac:dyDescent="0.4">
      <c r="A13" s="1">
        <f t="shared" si="0"/>
        <v>0.54999999999999993</v>
      </c>
      <c r="B13" s="1">
        <f t="shared" si="11"/>
        <v>0.2</v>
      </c>
      <c r="C13" s="1">
        <v>0.2</v>
      </c>
      <c r="D13" s="1">
        <f t="shared" si="10"/>
        <v>0</v>
      </c>
      <c r="E13" s="1">
        <f t="shared" si="1"/>
        <v>0</v>
      </c>
      <c r="F13" s="1">
        <f t="shared" si="2"/>
        <v>0.2</v>
      </c>
      <c r="G13" s="4">
        <f t="shared" si="3"/>
        <v>0</v>
      </c>
      <c r="H13" s="4">
        <f t="shared" si="4"/>
        <v>5.2239325764435515E-3</v>
      </c>
      <c r="I13" s="3">
        <f t="shared" si="5"/>
        <v>0.29930928909111776</v>
      </c>
      <c r="J13" s="2">
        <f t="shared" si="6"/>
        <v>0.99998635529524815</v>
      </c>
      <c r="K13" s="2">
        <f t="shared" si="7"/>
        <v>5.2239088167493888E-3</v>
      </c>
      <c r="L13" s="4">
        <f t="shared" si="8"/>
        <v>0.10087372663629696</v>
      </c>
      <c r="M13" s="4">
        <f t="shared" si="9"/>
        <v>4.9855687545372984E-4</v>
      </c>
      <c r="U13" s="6">
        <v>0.04</v>
      </c>
      <c r="V13" s="6">
        <v>-7.0000000000000007E-2</v>
      </c>
      <c r="X13" s="31">
        <v>8.1599999999999984</v>
      </c>
      <c r="Y13" s="33">
        <v>-7.0000000000000007E-2</v>
      </c>
    </row>
    <row r="14" spans="1:25" x14ac:dyDescent="0.4">
      <c r="A14" s="1">
        <f t="shared" si="0"/>
        <v>0.6</v>
      </c>
      <c r="B14" s="1">
        <f t="shared" si="11"/>
        <v>0.2</v>
      </c>
      <c r="C14" s="1">
        <v>0.2</v>
      </c>
      <c r="D14" s="1">
        <f t="shared" si="10"/>
        <v>0</v>
      </c>
      <c r="E14" s="1">
        <f t="shared" si="1"/>
        <v>0</v>
      </c>
      <c r="F14" s="1">
        <f t="shared" si="2"/>
        <v>0.2</v>
      </c>
      <c r="G14" s="4">
        <f t="shared" si="3"/>
        <v>0</v>
      </c>
      <c r="H14" s="4">
        <f t="shared" si="4"/>
        <v>5.2239325764435515E-3</v>
      </c>
      <c r="I14" s="3">
        <f t="shared" si="5"/>
        <v>0.29930928909111776</v>
      </c>
      <c r="J14" s="2">
        <f t="shared" si="6"/>
        <v>0.99998635529524815</v>
      </c>
      <c r="K14" s="2">
        <f t="shared" si="7"/>
        <v>5.2239088167493888E-3</v>
      </c>
      <c r="L14" s="4">
        <f t="shared" si="8"/>
        <v>0.11087359018924944</v>
      </c>
      <c r="M14" s="4">
        <f t="shared" si="9"/>
        <v>5.507959636212237E-4</v>
      </c>
    </row>
    <row r="15" spans="1:25" x14ac:dyDescent="0.4">
      <c r="A15" s="1">
        <f t="shared" si="0"/>
        <v>0.65</v>
      </c>
      <c r="B15" s="1">
        <f t="shared" si="11"/>
        <v>0.2</v>
      </c>
      <c r="C15" s="1">
        <v>0.2</v>
      </c>
      <c r="D15" s="1">
        <f t="shared" si="10"/>
        <v>0</v>
      </c>
      <c r="E15" s="1">
        <f t="shared" si="1"/>
        <v>0</v>
      </c>
      <c r="F15" s="1">
        <f t="shared" si="2"/>
        <v>0.2</v>
      </c>
      <c r="G15" s="4">
        <f t="shared" si="3"/>
        <v>0</v>
      </c>
      <c r="H15" s="4">
        <f t="shared" si="4"/>
        <v>5.2239325764435515E-3</v>
      </c>
      <c r="I15" s="3">
        <f t="shared" si="5"/>
        <v>0.29930928909111776</v>
      </c>
      <c r="J15" s="2">
        <f t="shared" si="6"/>
        <v>0.99998635529524815</v>
      </c>
      <c r="K15" s="2">
        <f t="shared" si="7"/>
        <v>5.2239088167493888E-3</v>
      </c>
      <c r="L15" s="4">
        <f t="shared" si="8"/>
        <v>0.12087345374220193</v>
      </c>
      <c r="M15" s="4">
        <f t="shared" si="9"/>
        <v>6.0303505178871755E-4</v>
      </c>
    </row>
    <row r="16" spans="1:25" x14ac:dyDescent="0.4">
      <c r="A16" s="1">
        <f t="shared" si="0"/>
        <v>0.70000000000000007</v>
      </c>
      <c r="B16" s="1">
        <f t="shared" si="11"/>
        <v>0.2</v>
      </c>
      <c r="C16" s="1">
        <v>0.2</v>
      </c>
      <c r="D16" s="1">
        <f t="shared" si="10"/>
        <v>0</v>
      </c>
      <c r="E16" s="1">
        <f t="shared" si="1"/>
        <v>0</v>
      </c>
      <c r="F16" s="1">
        <f t="shared" si="2"/>
        <v>0.2</v>
      </c>
      <c r="G16" s="4">
        <f t="shared" si="3"/>
        <v>0</v>
      </c>
      <c r="H16" s="4">
        <f t="shared" si="4"/>
        <v>5.2239325764435515E-3</v>
      </c>
      <c r="I16" s="3">
        <f t="shared" si="5"/>
        <v>0.29930928909111776</v>
      </c>
      <c r="J16" s="2">
        <f t="shared" si="6"/>
        <v>0.99998635529524815</v>
      </c>
      <c r="K16" s="2">
        <f t="shared" si="7"/>
        <v>5.2239088167493888E-3</v>
      </c>
      <c r="L16" s="4">
        <f t="shared" si="8"/>
        <v>0.13087331729515442</v>
      </c>
      <c r="M16" s="4">
        <f t="shared" si="9"/>
        <v>6.552741399562114E-4</v>
      </c>
    </row>
    <row r="17" spans="1:13" x14ac:dyDescent="0.4">
      <c r="A17" s="1">
        <f t="shared" si="0"/>
        <v>0.75000000000000011</v>
      </c>
      <c r="B17" s="1">
        <f t="shared" si="11"/>
        <v>0.2</v>
      </c>
      <c r="C17" s="1">
        <v>0.2</v>
      </c>
      <c r="D17" s="1">
        <f t="shared" si="10"/>
        <v>0</v>
      </c>
      <c r="E17" s="1">
        <f t="shared" si="1"/>
        <v>0</v>
      </c>
      <c r="F17" s="1">
        <f t="shared" si="2"/>
        <v>0.2</v>
      </c>
      <c r="G17" s="4">
        <f t="shared" si="3"/>
        <v>0</v>
      </c>
      <c r="H17" s="4">
        <f t="shared" si="4"/>
        <v>5.2239325764435515E-3</v>
      </c>
      <c r="I17" s="3">
        <f t="shared" si="5"/>
        <v>0.29930928909111776</v>
      </c>
      <c r="J17" s="2">
        <f t="shared" si="6"/>
        <v>0.99998635529524815</v>
      </c>
      <c r="K17" s="2">
        <f t="shared" si="7"/>
        <v>5.2239088167493888E-3</v>
      </c>
      <c r="L17" s="4">
        <f t="shared" si="8"/>
        <v>0.1408731808481069</v>
      </c>
      <c r="M17" s="4">
        <f t="shared" si="9"/>
        <v>7.0751322812370526E-4</v>
      </c>
    </row>
    <row r="18" spans="1:13" x14ac:dyDescent="0.4">
      <c r="A18" s="1">
        <f t="shared" si="0"/>
        <v>0.80000000000000016</v>
      </c>
      <c r="B18" s="1">
        <f t="shared" si="11"/>
        <v>0.2</v>
      </c>
      <c r="C18" s="1">
        <v>0.2</v>
      </c>
      <c r="D18" s="1">
        <f t="shared" si="10"/>
        <v>0</v>
      </c>
      <c r="E18" s="1">
        <f t="shared" si="1"/>
        <v>0</v>
      </c>
      <c r="F18" s="1">
        <f t="shared" si="2"/>
        <v>0.2</v>
      </c>
      <c r="G18" s="4">
        <f t="shared" si="3"/>
        <v>0</v>
      </c>
      <c r="H18" s="4">
        <f t="shared" si="4"/>
        <v>5.2239325764435515E-3</v>
      </c>
      <c r="I18" s="3">
        <f t="shared" si="5"/>
        <v>0.29930928909111776</v>
      </c>
      <c r="J18" s="2">
        <f t="shared" si="6"/>
        <v>0.99998635529524815</v>
      </c>
      <c r="K18" s="2">
        <f t="shared" si="7"/>
        <v>5.2239088167493888E-3</v>
      </c>
      <c r="L18" s="4">
        <f t="shared" si="8"/>
        <v>0.15087304440105939</v>
      </c>
      <c r="M18" s="4">
        <f t="shared" si="9"/>
        <v>7.5975231629119911E-4</v>
      </c>
    </row>
    <row r="19" spans="1:13" x14ac:dyDescent="0.4">
      <c r="A19" s="1">
        <f t="shared" si="0"/>
        <v>0.8500000000000002</v>
      </c>
      <c r="B19" s="1">
        <f t="shared" si="11"/>
        <v>0.2</v>
      </c>
      <c r="C19" s="1">
        <v>0.2</v>
      </c>
      <c r="D19" s="1">
        <f t="shared" si="10"/>
        <v>0</v>
      </c>
      <c r="E19" s="1">
        <f t="shared" si="1"/>
        <v>0</v>
      </c>
      <c r="F19" s="1">
        <f t="shared" si="2"/>
        <v>0.2</v>
      </c>
      <c r="G19" s="4">
        <f t="shared" si="3"/>
        <v>0</v>
      </c>
      <c r="H19" s="4">
        <f t="shared" si="4"/>
        <v>5.2239325764435515E-3</v>
      </c>
      <c r="I19" s="3">
        <f t="shared" si="5"/>
        <v>0.29930928909111776</v>
      </c>
      <c r="J19" s="2">
        <f t="shared" si="6"/>
        <v>0.99998635529524815</v>
      </c>
      <c r="K19" s="2">
        <f t="shared" si="7"/>
        <v>5.2239088167493888E-3</v>
      </c>
      <c r="L19" s="4">
        <f t="shared" si="8"/>
        <v>0.16087290795401188</v>
      </c>
      <c r="M19" s="4">
        <f t="shared" si="9"/>
        <v>8.1199140445869296E-4</v>
      </c>
    </row>
    <row r="20" spans="1:13" x14ac:dyDescent="0.4">
      <c r="A20" s="1">
        <f t="shared" si="0"/>
        <v>0.90000000000000024</v>
      </c>
      <c r="B20" s="1">
        <f t="shared" si="11"/>
        <v>0.2</v>
      </c>
      <c r="C20" s="1">
        <v>0.2</v>
      </c>
      <c r="D20" s="1">
        <f t="shared" si="10"/>
        <v>0</v>
      </c>
      <c r="E20" s="1">
        <f t="shared" si="1"/>
        <v>0</v>
      </c>
      <c r="F20" s="1">
        <f t="shared" si="2"/>
        <v>0.2</v>
      </c>
      <c r="G20" s="4">
        <f t="shared" si="3"/>
        <v>0</v>
      </c>
      <c r="H20" s="4">
        <f t="shared" si="4"/>
        <v>5.2239325764435515E-3</v>
      </c>
      <c r="I20" s="3">
        <f t="shared" si="5"/>
        <v>0.29930928909111776</v>
      </c>
      <c r="J20" s="2">
        <f t="shared" si="6"/>
        <v>0.99998635529524815</v>
      </c>
      <c r="K20" s="2">
        <f t="shared" si="7"/>
        <v>5.2239088167493888E-3</v>
      </c>
      <c r="L20" s="4">
        <f t="shared" si="8"/>
        <v>0.17087277150696437</v>
      </c>
      <c r="M20" s="4">
        <f t="shared" si="9"/>
        <v>8.6423049262618682E-4</v>
      </c>
    </row>
    <row r="21" spans="1:13" x14ac:dyDescent="0.4">
      <c r="A21" s="1">
        <f t="shared" si="0"/>
        <v>0.95000000000000029</v>
      </c>
      <c r="B21" s="1">
        <f t="shared" si="11"/>
        <v>0.2</v>
      </c>
      <c r="C21" s="1">
        <v>0.2</v>
      </c>
      <c r="D21" s="1">
        <f t="shared" si="10"/>
        <v>0</v>
      </c>
      <c r="E21" s="1">
        <f t="shared" si="1"/>
        <v>0</v>
      </c>
      <c r="F21" s="1">
        <f t="shared" si="2"/>
        <v>0.2</v>
      </c>
      <c r="G21" s="4">
        <f t="shared" si="3"/>
        <v>0</v>
      </c>
      <c r="H21" s="4">
        <f t="shared" si="4"/>
        <v>5.2239325764435515E-3</v>
      </c>
      <c r="I21" s="3">
        <f t="shared" si="5"/>
        <v>0.29930928909111776</v>
      </c>
      <c r="J21" s="2">
        <f t="shared" si="6"/>
        <v>0.99998635529524815</v>
      </c>
      <c r="K21" s="2">
        <f t="shared" si="7"/>
        <v>5.2239088167493888E-3</v>
      </c>
      <c r="L21" s="4">
        <f t="shared" si="8"/>
        <v>0.18087263505991685</v>
      </c>
      <c r="M21" s="4">
        <f t="shared" si="9"/>
        <v>9.1646958079368067E-4</v>
      </c>
    </row>
    <row r="22" spans="1:13" x14ac:dyDescent="0.4">
      <c r="A22" s="1">
        <f t="shared" si="0"/>
        <v>1.0000000000000002</v>
      </c>
      <c r="B22" s="1">
        <f t="shared" si="11"/>
        <v>0.2</v>
      </c>
      <c r="C22" s="1">
        <v>0.2</v>
      </c>
      <c r="D22" s="1">
        <f t="shared" si="10"/>
        <v>0</v>
      </c>
      <c r="E22" s="1">
        <f t="shared" si="1"/>
        <v>0</v>
      </c>
      <c r="F22" s="1">
        <f t="shared" si="2"/>
        <v>0.2</v>
      </c>
      <c r="G22" s="4">
        <f t="shared" si="3"/>
        <v>0</v>
      </c>
      <c r="H22" s="4">
        <f t="shared" si="4"/>
        <v>5.2239325764435515E-3</v>
      </c>
      <c r="I22" s="3">
        <f t="shared" si="5"/>
        <v>0.29930928909111776</v>
      </c>
      <c r="J22" s="2">
        <f t="shared" si="6"/>
        <v>0.99998635529524815</v>
      </c>
      <c r="K22" s="2">
        <f t="shared" si="7"/>
        <v>5.2239088167493888E-3</v>
      </c>
      <c r="L22" s="4">
        <f t="shared" si="8"/>
        <v>0.19087249861286934</v>
      </c>
      <c r="M22" s="4">
        <f t="shared" si="9"/>
        <v>9.6870866896117452E-4</v>
      </c>
    </row>
    <row r="23" spans="1:13" x14ac:dyDescent="0.4">
      <c r="A23" s="1">
        <f t="shared" si="0"/>
        <v>1.0500000000000003</v>
      </c>
      <c r="B23" s="1">
        <f>B22+D23*$P$3</f>
        <v>0.13</v>
      </c>
      <c r="C23" s="1">
        <v>0.2</v>
      </c>
      <c r="D23" s="1">
        <f>-1.4</f>
        <v>-1.4</v>
      </c>
      <c r="E23" s="1">
        <f t="shared" si="1"/>
        <v>0</v>
      </c>
      <c r="F23" s="1">
        <f t="shared" si="2"/>
        <v>0.16500000000000001</v>
      </c>
      <c r="G23" s="4">
        <f t="shared" si="3"/>
        <v>-0.48756704046806437</v>
      </c>
      <c r="H23" s="4">
        <f t="shared" si="4"/>
        <v>-1.915441944695967E-2</v>
      </c>
      <c r="I23" s="3">
        <f t="shared" si="5"/>
        <v>-1.0974673933340975</v>
      </c>
      <c r="J23" s="2">
        <f t="shared" si="6"/>
        <v>0.99997574279001311</v>
      </c>
      <c r="K23" s="2">
        <f t="shared" si="7"/>
        <v>-6.9651871160427764E-3</v>
      </c>
      <c r="L23" s="4">
        <f t="shared" si="8"/>
        <v>0.19912229849088695</v>
      </c>
      <c r="M23" s="4">
        <f t="shared" si="9"/>
        <v>9.1124587525382166E-4</v>
      </c>
    </row>
    <row r="24" spans="1:13" x14ac:dyDescent="0.4">
      <c r="A24" s="1">
        <f t="shared" si="0"/>
        <v>1.1000000000000003</v>
      </c>
      <c r="B24" s="1">
        <f>B23+D24*$P$3</f>
        <v>6.0000000000000012E-2</v>
      </c>
      <c r="C24" s="1">
        <v>0.2</v>
      </c>
      <c r="D24" s="1">
        <v>-1.4</v>
      </c>
      <c r="E24" s="1">
        <f t="shared" si="1"/>
        <v>0</v>
      </c>
      <c r="F24" s="1">
        <f t="shared" si="2"/>
        <v>0.13</v>
      </c>
      <c r="G24" s="4">
        <f t="shared" si="3"/>
        <v>-0.97513408093612874</v>
      </c>
      <c r="H24" s="4">
        <f t="shared" si="4"/>
        <v>-6.7911123493766101E-2</v>
      </c>
      <c r="I24" s="3">
        <f t="shared" si="5"/>
        <v>-3.8910207581845273</v>
      </c>
      <c r="J24" s="2">
        <f t="shared" si="6"/>
        <v>0.99905259853678186</v>
      </c>
      <c r="K24" s="2">
        <f t="shared" si="7"/>
        <v>-4.3519022931399767E-2</v>
      </c>
      <c r="L24" s="4">
        <f t="shared" si="8"/>
        <v>0.20561614038137602</v>
      </c>
      <c r="M24" s="4">
        <f t="shared" si="9"/>
        <v>6.283722261997231E-4</v>
      </c>
    </row>
    <row r="25" spans="1:13" x14ac:dyDescent="0.4">
      <c r="A25" s="1">
        <f t="shared" si="0"/>
        <v>1.1500000000000004</v>
      </c>
      <c r="B25" s="1">
        <v>0.05</v>
      </c>
      <c r="C25" s="1">
        <v>0.2</v>
      </c>
      <c r="D25" s="1">
        <f t="shared" si="10"/>
        <v>-0.20000000000000018</v>
      </c>
      <c r="E25" s="1">
        <f t="shared" si="1"/>
        <v>0</v>
      </c>
      <c r="F25" s="1">
        <f t="shared" si="2"/>
        <v>0.125</v>
      </c>
      <c r="G25" s="4">
        <f t="shared" si="3"/>
        <v>-1.0447865152887095</v>
      </c>
      <c r="H25" s="4">
        <f t="shared" si="4"/>
        <v>-0.12015044925820158</v>
      </c>
      <c r="I25" s="3">
        <f t="shared" si="5"/>
        <v>-6.8841136490957036</v>
      </c>
      <c r="J25" s="2">
        <f t="shared" si="6"/>
        <v>0.99558236203141115</v>
      </c>
      <c r="K25" s="2">
        <f t="shared" si="7"/>
        <v>-9.3892280896547956E-2</v>
      </c>
      <c r="L25" s="4">
        <f t="shared" si="8"/>
        <v>0.21183853014407233</v>
      </c>
      <c r="M25" s="4">
        <f t="shared" si="9"/>
        <v>4.1545470596298295E-5</v>
      </c>
    </row>
    <row r="26" spans="1:13" x14ac:dyDescent="0.4">
      <c r="A26" s="1">
        <f t="shared" si="0"/>
        <v>1.2000000000000004</v>
      </c>
      <c r="B26" s="1">
        <f>B25</f>
        <v>0.05</v>
      </c>
      <c r="C26" s="1">
        <v>0.2</v>
      </c>
      <c r="D26" s="1">
        <f t="shared" si="10"/>
        <v>0</v>
      </c>
      <c r="E26" s="1">
        <f t="shared" si="1"/>
        <v>0</v>
      </c>
      <c r="F26" s="1">
        <f t="shared" si="2"/>
        <v>0.125</v>
      </c>
      <c r="G26" s="4">
        <f t="shared" si="3"/>
        <v>-1.0447865152887095</v>
      </c>
      <c r="H26" s="4">
        <f t="shared" si="4"/>
        <v>-0.17238977502263705</v>
      </c>
      <c r="I26" s="3">
        <f t="shared" si="5"/>
        <v>-9.8772065400068794</v>
      </c>
      <c r="J26" s="2">
        <f t="shared" si="6"/>
        <v>0.98932158620470256</v>
      </c>
      <c r="K26" s="2">
        <f t="shared" si="7"/>
        <v>-0.14574909629020402</v>
      </c>
      <c r="L26" s="4">
        <f t="shared" si="8"/>
        <v>0.21802179005785172</v>
      </c>
      <c r="M26" s="4">
        <f t="shared" si="9"/>
        <v>-8.6938638121747684E-4</v>
      </c>
    </row>
    <row r="27" spans="1:13" x14ac:dyDescent="0.4">
      <c r="A27" s="1">
        <f t="shared" si="0"/>
        <v>1.2500000000000004</v>
      </c>
      <c r="B27" s="1">
        <f t="shared" ref="B27:B90" si="12">B26</f>
        <v>0.05</v>
      </c>
      <c r="C27" s="1">
        <v>0.2</v>
      </c>
      <c r="D27" s="1">
        <v>0</v>
      </c>
      <c r="E27" s="1">
        <f t="shared" si="1"/>
        <v>0</v>
      </c>
      <c r="F27" s="1">
        <f t="shared" si="2"/>
        <v>0.125</v>
      </c>
      <c r="G27" s="4">
        <f t="shared" si="3"/>
        <v>-1.0447865152887095</v>
      </c>
      <c r="H27" s="4">
        <f t="shared" si="4"/>
        <v>-0.22462910078707254</v>
      </c>
      <c r="I27" s="3">
        <f t="shared" si="5"/>
        <v>-12.870299430918056</v>
      </c>
      <c r="J27" s="2">
        <f t="shared" si="6"/>
        <v>0.98036161796185217</v>
      </c>
      <c r="K27" s="2">
        <f t="shared" si="7"/>
        <v>-0.19720826054508808</v>
      </c>
      <c r="L27" s="4">
        <f t="shared" si="8"/>
        <v>0.2241490501701133</v>
      </c>
      <c r="M27" s="4">
        <f t="shared" si="9"/>
        <v>-2.1019380096242773E-3</v>
      </c>
    </row>
    <row r="28" spans="1:13" x14ac:dyDescent="0.4">
      <c r="A28" s="1">
        <f t="shared" si="0"/>
        <v>1.3000000000000005</v>
      </c>
      <c r="B28" s="1">
        <f t="shared" si="12"/>
        <v>0.05</v>
      </c>
      <c r="C28" s="1">
        <v>0.2</v>
      </c>
      <c r="D28" s="1">
        <f t="shared" si="10"/>
        <v>0</v>
      </c>
      <c r="E28" s="1">
        <f t="shared" si="1"/>
        <v>0</v>
      </c>
      <c r="F28" s="1">
        <f t="shared" si="2"/>
        <v>0.125</v>
      </c>
      <c r="G28" s="4">
        <f t="shared" si="3"/>
        <v>-1.0447865152887095</v>
      </c>
      <c r="H28" s="4">
        <f t="shared" si="4"/>
        <v>-0.27686842655150801</v>
      </c>
      <c r="I28" s="3">
        <f t="shared" si="5"/>
        <v>-15.863392321829231</v>
      </c>
      <c r="J28" s="2">
        <f t="shared" si="6"/>
        <v>0.96872690302270181</v>
      </c>
      <c r="K28" s="2">
        <f t="shared" si="7"/>
        <v>-0.24812937625368908</v>
      </c>
      <c r="L28" s="4">
        <f t="shared" si="8"/>
        <v>0.23020359331400519</v>
      </c>
      <c r="M28" s="4">
        <f t="shared" si="9"/>
        <v>-3.6527466112098342E-3</v>
      </c>
    </row>
    <row r="29" spans="1:13" x14ac:dyDescent="0.4">
      <c r="A29" s="1">
        <f t="shared" si="0"/>
        <v>1.3500000000000005</v>
      </c>
      <c r="B29" s="1">
        <f t="shared" si="12"/>
        <v>0.05</v>
      </c>
      <c r="C29" s="1">
        <v>0.2</v>
      </c>
      <c r="D29" s="1">
        <f t="shared" si="10"/>
        <v>0</v>
      </c>
      <c r="E29" s="1">
        <f t="shared" si="1"/>
        <v>0</v>
      </c>
      <c r="F29" s="1">
        <f t="shared" si="2"/>
        <v>0.125</v>
      </c>
      <c r="G29" s="4">
        <f t="shared" si="3"/>
        <v>-1.0447865152887095</v>
      </c>
      <c r="H29" s="4">
        <f t="shared" si="4"/>
        <v>-0.32910775231594347</v>
      </c>
      <c r="I29" s="3">
        <f t="shared" si="5"/>
        <v>-18.856485212740406</v>
      </c>
      <c r="J29" s="2">
        <f t="shared" si="6"/>
        <v>0.95444918468969808</v>
      </c>
      <c r="K29" s="2">
        <f t="shared" si="7"/>
        <v>-0.29837351398066603</v>
      </c>
      <c r="L29" s="4">
        <f t="shared" si="8"/>
        <v>0.23616890071831581</v>
      </c>
      <c r="M29" s="4">
        <f t="shared" si="9"/>
        <v>-5.5175810735889966E-3</v>
      </c>
    </row>
    <row r="30" spans="1:13" x14ac:dyDescent="0.4">
      <c r="A30" s="1">
        <f t="shared" si="0"/>
        <v>1.4000000000000006</v>
      </c>
      <c r="B30" s="1">
        <f t="shared" si="12"/>
        <v>0.05</v>
      </c>
      <c r="C30" s="1">
        <v>0.2</v>
      </c>
      <c r="D30" s="1">
        <f t="shared" si="10"/>
        <v>0</v>
      </c>
      <c r="E30" s="1">
        <f t="shared" si="1"/>
        <v>0</v>
      </c>
      <c r="F30" s="1">
        <f t="shared" si="2"/>
        <v>0.125</v>
      </c>
      <c r="G30" s="4">
        <f t="shared" si="3"/>
        <v>-1.0447865152887095</v>
      </c>
      <c r="H30" s="4">
        <f t="shared" si="4"/>
        <v>-0.38134707808037893</v>
      </c>
      <c r="I30" s="3">
        <f t="shared" si="5"/>
        <v>-21.849578103651581</v>
      </c>
      <c r="J30" s="2">
        <f t="shared" si="6"/>
        <v>0.93756741724179482</v>
      </c>
      <c r="K30" s="2">
        <f t="shared" si="7"/>
        <v>-0.34780359130772404</v>
      </c>
      <c r="L30" s="4">
        <f t="shared" si="8"/>
        <v>0.24202869707607702</v>
      </c>
      <c r="M30" s="4">
        <f t="shared" si="9"/>
        <v>-7.6913535192622718E-3</v>
      </c>
    </row>
    <row r="31" spans="1:13" x14ac:dyDescent="0.4">
      <c r="A31" s="1">
        <f t="shared" si="0"/>
        <v>1.4500000000000006</v>
      </c>
      <c r="B31" s="1">
        <f t="shared" si="12"/>
        <v>0.05</v>
      </c>
      <c r="C31" s="1">
        <v>0.2</v>
      </c>
      <c r="D31" s="1">
        <f t="shared" si="10"/>
        <v>0</v>
      </c>
      <c r="E31" s="1">
        <f t="shared" si="1"/>
        <v>0</v>
      </c>
      <c r="F31" s="1">
        <f t="shared" si="2"/>
        <v>0.125</v>
      </c>
      <c r="G31" s="4">
        <f t="shared" si="3"/>
        <v>-1.0447865152887095</v>
      </c>
      <c r="H31" s="4">
        <f t="shared" si="4"/>
        <v>-0.43358640384481439</v>
      </c>
      <c r="I31" s="3">
        <f t="shared" si="5"/>
        <v>-24.842670994562756</v>
      </c>
      <c r="J31" s="2">
        <f t="shared" si="6"/>
        <v>0.91812765965445753</v>
      </c>
      <c r="K31" s="2">
        <f t="shared" si="7"/>
        <v>-0.39628474683922493</v>
      </c>
      <c r="L31" s="4">
        <f t="shared" si="8"/>
        <v>0.24776699494891738</v>
      </c>
      <c r="M31" s="4">
        <f t="shared" si="9"/>
        <v>-1.0168133187007428E-2</v>
      </c>
    </row>
    <row r="32" spans="1:13" x14ac:dyDescent="0.4">
      <c r="A32" s="1">
        <f t="shared" si="0"/>
        <v>1.5000000000000007</v>
      </c>
      <c r="B32" s="1">
        <f t="shared" si="12"/>
        <v>0.05</v>
      </c>
      <c r="C32" s="1">
        <v>0.2</v>
      </c>
      <c r="D32" s="1">
        <f t="shared" si="10"/>
        <v>0</v>
      </c>
      <c r="E32" s="1">
        <f t="shared" si="1"/>
        <v>0</v>
      </c>
      <c r="F32" s="1">
        <f t="shared" si="2"/>
        <v>0.125</v>
      </c>
      <c r="G32" s="4">
        <f t="shared" si="3"/>
        <v>-1.0447865152887095</v>
      </c>
      <c r="H32" s="4">
        <f t="shared" si="4"/>
        <v>-0.48582572960924986</v>
      </c>
      <c r="I32" s="3">
        <f t="shared" si="5"/>
        <v>-27.835763885473931</v>
      </c>
      <c r="J32" s="2">
        <f t="shared" si="6"/>
        <v>0.89618294993573444</v>
      </c>
      <c r="K32" s="2">
        <f t="shared" si="7"/>
        <v>-0.44368470814812272</v>
      </c>
      <c r="L32" s="4">
        <f t="shared" si="8"/>
        <v>0.25336813838601574</v>
      </c>
      <c r="M32" s="4">
        <f t="shared" si="9"/>
        <v>-1.2941162612933195E-2</v>
      </c>
    </row>
    <row r="33" spans="1:13" x14ac:dyDescent="0.4">
      <c r="A33" s="1">
        <f t="shared" si="0"/>
        <v>1.5500000000000007</v>
      </c>
      <c r="B33" s="1">
        <f t="shared" si="12"/>
        <v>0.05</v>
      </c>
      <c r="C33" s="1">
        <v>0.2</v>
      </c>
      <c r="D33" s="1">
        <f t="shared" si="10"/>
        <v>0</v>
      </c>
      <c r="E33" s="1">
        <f t="shared" si="1"/>
        <v>0</v>
      </c>
      <c r="F33" s="1">
        <f t="shared" si="2"/>
        <v>0.125</v>
      </c>
      <c r="G33" s="4">
        <f t="shared" si="3"/>
        <v>-1.0447865152887095</v>
      </c>
      <c r="H33" s="4">
        <f t="shared" si="4"/>
        <v>-0.53806505537368532</v>
      </c>
      <c r="I33" s="3">
        <f t="shared" si="5"/>
        <v>-30.828856776385106</v>
      </c>
      <c r="J33" s="2">
        <f t="shared" si="6"/>
        <v>0.87179316042124755</v>
      </c>
      <c r="K33" s="2">
        <f t="shared" si="7"/>
        <v>-0.48987415265834655</v>
      </c>
      <c r="L33" s="4">
        <f t="shared" si="8"/>
        <v>0.25881684563864854</v>
      </c>
      <c r="M33" s="4">
        <f t="shared" si="9"/>
        <v>-1.600287606704786E-2</v>
      </c>
    </row>
    <row r="34" spans="1:13" x14ac:dyDescent="0.4">
      <c r="A34" s="1">
        <f t="shared" si="0"/>
        <v>1.6000000000000008</v>
      </c>
      <c r="B34" s="1">
        <f t="shared" si="12"/>
        <v>0.05</v>
      </c>
      <c r="C34" s="1">
        <v>0.2</v>
      </c>
      <c r="D34" s="1">
        <f t="shared" si="10"/>
        <v>0</v>
      </c>
      <c r="E34" s="1">
        <f t="shared" si="1"/>
        <v>0</v>
      </c>
      <c r="F34" s="1">
        <f t="shared" si="2"/>
        <v>0.125</v>
      </c>
      <c r="G34" s="4">
        <f t="shared" si="3"/>
        <v>-1.0447865152887095</v>
      </c>
      <c r="H34" s="4">
        <f t="shared" si="4"/>
        <v>-0.59030438113812078</v>
      </c>
      <c r="I34" s="3">
        <f t="shared" si="5"/>
        <v>-33.82194966729628</v>
      </c>
      <c r="J34" s="2">
        <f t="shared" si="6"/>
        <v>0.84502483442290532</v>
      </c>
      <c r="K34" s="2">
        <f t="shared" si="7"/>
        <v>-0.53472706047902729</v>
      </c>
      <c r="L34" s="4">
        <f t="shared" si="8"/>
        <v>0.26409825085379168</v>
      </c>
      <c r="M34" s="4">
        <f t="shared" si="9"/>
        <v>-1.9344920195041779E-2</v>
      </c>
    </row>
    <row r="35" spans="1:13" x14ac:dyDescent="0.4">
      <c r="A35" s="1">
        <f t="shared" si="0"/>
        <v>1.6500000000000008</v>
      </c>
      <c r="B35" s="1">
        <f t="shared" si="12"/>
        <v>0.05</v>
      </c>
      <c r="C35" s="1">
        <v>0.2</v>
      </c>
      <c r="D35" s="1">
        <f t="shared" si="10"/>
        <v>0</v>
      </c>
      <c r="E35" s="1">
        <f t="shared" si="1"/>
        <v>0</v>
      </c>
      <c r="F35" s="1">
        <f t="shared" si="2"/>
        <v>0.125</v>
      </c>
      <c r="G35" s="4">
        <f t="shared" si="3"/>
        <v>-1.0447865152887095</v>
      </c>
      <c r="H35" s="4">
        <f t="shared" si="4"/>
        <v>-0.64254370690255624</v>
      </c>
      <c r="I35" s="3">
        <f t="shared" si="5"/>
        <v>-36.815042558207459</v>
      </c>
      <c r="J35" s="2">
        <f t="shared" si="6"/>
        <v>0.81595100467701431</v>
      </c>
      <c r="K35" s="2">
        <f t="shared" si="7"/>
        <v>-0.57812105822792081</v>
      </c>
      <c r="L35" s="4">
        <f t="shared" si="8"/>
        <v>0.26919794463302305</v>
      </c>
      <c r="M35" s="4">
        <f t="shared" si="9"/>
        <v>-2.2958176808966287E-2</v>
      </c>
    </row>
    <row r="36" spans="1:13" x14ac:dyDescent="0.4">
      <c r="A36" s="1">
        <f t="shared" si="0"/>
        <v>1.7000000000000008</v>
      </c>
      <c r="B36" s="1">
        <f t="shared" si="12"/>
        <v>0.05</v>
      </c>
      <c r="C36" s="1">
        <v>0.2</v>
      </c>
      <c r="D36" s="1">
        <f t="shared" si="10"/>
        <v>0</v>
      </c>
      <c r="E36" s="1">
        <f t="shared" si="1"/>
        <v>0</v>
      </c>
      <c r="F36" s="1">
        <f t="shared" si="2"/>
        <v>0.125</v>
      </c>
      <c r="G36" s="4">
        <f t="shared" si="3"/>
        <v>-1.0447865152887095</v>
      </c>
      <c r="H36" s="4">
        <f t="shared" si="4"/>
        <v>-0.69478303266699171</v>
      </c>
      <c r="I36" s="3">
        <f t="shared" si="5"/>
        <v>-39.80813544911863</v>
      </c>
      <c r="J36" s="2">
        <f t="shared" si="6"/>
        <v>0.78465099408712036</v>
      </c>
      <c r="K36" s="2">
        <f t="shared" si="7"/>
        <v>-0.6199377529059622</v>
      </c>
      <c r="L36" s="4">
        <f t="shared" si="8"/>
        <v>0.27410201334606754</v>
      </c>
      <c r="M36" s="4">
        <f t="shared" si="9"/>
        <v>-2.6832787764628552E-2</v>
      </c>
    </row>
    <row r="37" spans="1:13" x14ac:dyDescent="0.4">
      <c r="A37" s="1">
        <f t="shared" si="0"/>
        <v>1.7500000000000009</v>
      </c>
      <c r="B37" s="1">
        <f t="shared" si="12"/>
        <v>0.05</v>
      </c>
      <c r="C37" s="1">
        <v>0.2</v>
      </c>
      <c r="D37" s="1">
        <f t="shared" si="10"/>
        <v>0</v>
      </c>
      <c r="E37" s="1">
        <f t="shared" si="1"/>
        <v>0</v>
      </c>
      <c r="F37" s="1">
        <f t="shared" si="2"/>
        <v>0.125</v>
      </c>
      <c r="G37" s="4">
        <f t="shared" si="3"/>
        <v>-1.0447865152887095</v>
      </c>
      <c r="H37" s="4">
        <f t="shared" si="4"/>
        <v>-0.74702235843142717</v>
      </c>
      <c r="I37" s="3">
        <f t="shared" si="5"/>
        <v>-42.801228340029809</v>
      </c>
      <c r="J37" s="2">
        <f t="shared" si="6"/>
        <v>0.75121019930521937</v>
      </c>
      <c r="K37" s="2">
        <f t="shared" si="7"/>
        <v>-0.66006305491203832</v>
      </c>
      <c r="L37" s="4">
        <f t="shared" si="8"/>
        <v>0.27879707709172519</v>
      </c>
      <c r="M37" s="4">
        <f t="shared" si="9"/>
        <v>-3.0958181857828792E-2</v>
      </c>
    </row>
    <row r="38" spans="1:13" x14ac:dyDescent="0.4">
      <c r="A38" s="1">
        <f t="shared" si="0"/>
        <v>1.8000000000000009</v>
      </c>
      <c r="B38" s="1">
        <f t="shared" si="12"/>
        <v>0.05</v>
      </c>
      <c r="C38" s="1">
        <v>0.2</v>
      </c>
      <c r="D38" s="1">
        <f t="shared" si="10"/>
        <v>0</v>
      </c>
      <c r="E38" s="1">
        <f t="shared" si="1"/>
        <v>0</v>
      </c>
      <c r="F38" s="1">
        <f t="shared" si="2"/>
        <v>0.125</v>
      </c>
      <c r="G38" s="4">
        <f t="shared" si="3"/>
        <v>-1.0447865152887095</v>
      </c>
      <c r="H38" s="4">
        <f t="shared" si="4"/>
        <v>-0.79926168419586263</v>
      </c>
      <c r="I38" s="3">
        <f t="shared" si="5"/>
        <v>-45.79432123094098</v>
      </c>
      <c r="J38" s="2">
        <f t="shared" si="6"/>
        <v>0.71571985774179958</v>
      </c>
      <c r="K38" s="2">
        <f t="shared" si="7"/>
        <v>-0.6983874893166816</v>
      </c>
      <c r="L38" s="4">
        <f t="shared" si="8"/>
        <v>0.28327032620261144</v>
      </c>
      <c r="M38" s="4">
        <f t="shared" si="9"/>
        <v>-3.5323103666058051E-2</v>
      </c>
    </row>
    <row r="39" spans="1:13" x14ac:dyDescent="0.4">
      <c r="A39" s="1">
        <f t="shared" si="0"/>
        <v>1.850000000000001</v>
      </c>
      <c r="B39" s="1">
        <f t="shared" si="12"/>
        <v>0.05</v>
      </c>
      <c r="C39" s="1">
        <v>0.2</v>
      </c>
      <c r="D39" s="1">
        <f t="shared" si="10"/>
        <v>0</v>
      </c>
      <c r="E39" s="1">
        <f t="shared" si="1"/>
        <v>0</v>
      </c>
      <c r="F39" s="1">
        <f t="shared" si="2"/>
        <v>0.125</v>
      </c>
      <c r="G39" s="4">
        <f t="shared" si="3"/>
        <v>-1.0447865152887095</v>
      </c>
      <c r="H39" s="4">
        <f t="shared" si="4"/>
        <v>-0.85150100996029809</v>
      </c>
      <c r="I39" s="3">
        <f t="shared" si="5"/>
        <v>-48.787414121852159</v>
      </c>
      <c r="J39" s="2">
        <f t="shared" si="6"/>
        <v>0.67827679864038481</v>
      </c>
      <c r="K39" s="2">
        <f t="shared" si="7"/>
        <v>-0.73480649454543534</v>
      </c>
      <c r="L39" s="4">
        <f t="shared" si="8"/>
        <v>0.28750955619411384</v>
      </c>
      <c r="M39" s="4">
        <f t="shared" si="9"/>
        <v>-3.9915644256967024E-2</v>
      </c>
    </row>
    <row r="40" spans="1:13" x14ac:dyDescent="0.4">
      <c r="A40" s="1">
        <f t="shared" si="0"/>
        <v>1.900000000000001</v>
      </c>
      <c r="B40" s="1">
        <f t="shared" si="12"/>
        <v>0.05</v>
      </c>
      <c r="C40" s="1">
        <v>0.2</v>
      </c>
      <c r="D40" s="1">
        <f t="shared" si="10"/>
        <v>0</v>
      </c>
      <c r="E40" s="1">
        <f t="shared" si="1"/>
        <v>0</v>
      </c>
      <c r="F40" s="1">
        <f t="shared" si="2"/>
        <v>0.125</v>
      </c>
      <c r="G40" s="4">
        <f t="shared" si="3"/>
        <v>-1.0447865152887095</v>
      </c>
      <c r="H40" s="4">
        <f t="shared" si="4"/>
        <v>-0.90374033572473356</v>
      </c>
      <c r="I40" s="3">
        <f t="shared" si="5"/>
        <v>-51.78050701276333</v>
      </c>
      <c r="J40" s="2">
        <f t="shared" si="6"/>
        <v>0.63898317889573319</v>
      </c>
      <c r="K40" s="2">
        <f t="shared" si="7"/>
        <v>-0.76922070765697892</v>
      </c>
      <c r="L40" s="4">
        <f t="shared" si="8"/>
        <v>0.29150320106221217</v>
      </c>
      <c r="M40" s="4">
        <f t="shared" si="9"/>
        <v>-4.4723273679823143E-2</v>
      </c>
    </row>
    <row r="41" spans="1:13" x14ac:dyDescent="0.4">
      <c r="A41" s="1">
        <f t="shared" si="0"/>
        <v>1.9500000000000011</v>
      </c>
      <c r="B41" s="1">
        <f t="shared" si="12"/>
        <v>0.05</v>
      </c>
      <c r="C41" s="1">
        <v>0.2</v>
      </c>
      <c r="D41" s="1">
        <f t="shared" si="10"/>
        <v>0</v>
      </c>
      <c r="E41" s="1">
        <f t="shared" si="1"/>
        <v>0</v>
      </c>
      <c r="F41" s="1">
        <f t="shared" si="2"/>
        <v>0.125</v>
      </c>
      <c r="G41" s="4">
        <f t="shared" si="3"/>
        <v>-1.0447865152887095</v>
      </c>
      <c r="H41" s="4">
        <f t="shared" si="4"/>
        <v>-0.95597966148916902</v>
      </c>
      <c r="I41" s="3">
        <f t="shared" si="5"/>
        <v>-54.773599903674508</v>
      </c>
      <c r="J41" s="2">
        <f t="shared" si="6"/>
        <v>0.59794620433646128</v>
      </c>
      <c r="K41" s="2">
        <f t="shared" si="7"/>
        <v>-0.80153623543768682</v>
      </c>
      <c r="L41" s="4">
        <f t="shared" si="8"/>
        <v>0.29524036483931504</v>
      </c>
      <c r="M41" s="4">
        <f t="shared" si="9"/>
        <v>-4.9732875151308684E-2</v>
      </c>
    </row>
    <row r="42" spans="1:13" x14ac:dyDescent="0.4">
      <c r="A42" s="1">
        <f t="shared" si="0"/>
        <v>2.0000000000000009</v>
      </c>
      <c r="B42" s="1">
        <f t="shared" si="12"/>
        <v>0.05</v>
      </c>
      <c r="C42" s="1">
        <v>0.2</v>
      </c>
      <c r="D42" s="1">
        <f t="shared" si="10"/>
        <v>0</v>
      </c>
      <c r="E42" s="1">
        <f t="shared" si="1"/>
        <v>0</v>
      </c>
      <c r="F42" s="1">
        <f t="shared" si="2"/>
        <v>0.125</v>
      </c>
      <c r="G42" s="4">
        <f t="shared" si="3"/>
        <v>-1.0447865152887095</v>
      </c>
      <c r="H42" s="4">
        <f t="shared" si="4"/>
        <v>-1.0082189872536045</v>
      </c>
      <c r="I42" s="3">
        <f t="shared" si="5"/>
        <v>-57.76669279458568</v>
      </c>
      <c r="J42" s="2">
        <f t="shared" si="6"/>
        <v>0.55527783723252933</v>
      </c>
      <c r="K42" s="2">
        <f t="shared" si="7"/>
        <v>-0.83166491057298109</v>
      </c>
      <c r="L42" s="4">
        <f t="shared" si="8"/>
        <v>0.29871085132201836</v>
      </c>
      <c r="M42" s="4">
        <f t="shared" si="9"/>
        <v>-5.4930780842389816E-2</v>
      </c>
    </row>
    <row r="43" spans="1:13" x14ac:dyDescent="0.4">
      <c r="A43" s="1">
        <f t="shared" si="0"/>
        <v>2.0500000000000007</v>
      </c>
      <c r="B43" s="1">
        <f t="shared" si="12"/>
        <v>0.05</v>
      </c>
      <c r="C43" s="1">
        <v>0.2</v>
      </c>
      <c r="D43" s="1">
        <f t="shared" si="10"/>
        <v>0</v>
      </c>
      <c r="E43" s="1">
        <f t="shared" si="1"/>
        <v>0</v>
      </c>
      <c r="F43" s="1">
        <f t="shared" si="2"/>
        <v>0.125</v>
      </c>
      <c r="G43" s="4">
        <f t="shared" si="3"/>
        <v>-1.0447865152887095</v>
      </c>
      <c r="H43" s="4">
        <f t="shared" si="4"/>
        <v>-1.0604583130180401</v>
      </c>
      <c r="I43" s="3">
        <f t="shared" si="5"/>
        <v>-60.759785685496858</v>
      </c>
      <c r="J43" s="2">
        <f t="shared" si="6"/>
        <v>0.51109449082559866</v>
      </c>
      <c r="K43" s="2">
        <f t="shared" si="7"/>
        <v>-0.85952453219656388</v>
      </c>
      <c r="L43" s="4">
        <f t="shared" si="8"/>
        <v>0.30190519188967835</v>
      </c>
      <c r="M43" s="4">
        <f t="shared" si="9"/>
        <v>-6.030280916861834E-2</v>
      </c>
    </row>
    <row r="44" spans="1:13" x14ac:dyDescent="0.4">
      <c r="A44" s="1">
        <f t="shared" si="0"/>
        <v>2.1000000000000005</v>
      </c>
      <c r="B44" s="1">
        <f t="shared" si="12"/>
        <v>0.05</v>
      </c>
      <c r="C44" s="1">
        <v>0.2</v>
      </c>
      <c r="D44" s="1">
        <f t="shared" si="10"/>
        <v>0</v>
      </c>
      <c r="E44" s="1">
        <f t="shared" si="1"/>
        <v>0</v>
      </c>
      <c r="F44" s="1">
        <f t="shared" si="2"/>
        <v>0.125</v>
      </c>
      <c r="G44" s="4">
        <f t="shared" si="3"/>
        <v>-1.0447865152887095</v>
      </c>
      <c r="H44" s="4">
        <f t="shared" si="4"/>
        <v>-1.1126976387824756</v>
      </c>
      <c r="I44" s="3">
        <f t="shared" si="5"/>
        <v>-63.752878576408044</v>
      </c>
      <c r="J44" s="2">
        <f t="shared" si="6"/>
        <v>0.46551671171568754</v>
      </c>
      <c r="K44" s="2">
        <f t="shared" si="7"/>
        <v>-0.8850390901612275</v>
      </c>
      <c r="L44" s="4">
        <f t="shared" si="8"/>
        <v>0.30481467133790141</v>
      </c>
      <c r="M44" s="4">
        <f t="shared" si="9"/>
        <v>-6.5834303482126016E-2</v>
      </c>
    </row>
    <row r="45" spans="1:13" x14ac:dyDescent="0.4">
      <c r="A45" s="1">
        <f t="shared" si="0"/>
        <v>2.1500000000000004</v>
      </c>
      <c r="B45" s="1">
        <f t="shared" si="12"/>
        <v>0.05</v>
      </c>
      <c r="C45" s="1">
        <v>0.2</v>
      </c>
      <c r="D45" s="1">
        <f t="shared" si="10"/>
        <v>0</v>
      </c>
      <c r="E45" s="1">
        <f t="shared" si="1"/>
        <v>0</v>
      </c>
      <c r="F45" s="1">
        <f t="shared" si="2"/>
        <v>0.125</v>
      </c>
      <c r="G45" s="4">
        <f t="shared" si="3"/>
        <v>-1.0447865152887095</v>
      </c>
      <c r="H45" s="4">
        <f t="shared" si="4"/>
        <v>-1.1649369645469112</v>
      </c>
      <c r="I45" s="3">
        <f t="shared" si="5"/>
        <v>-66.745971467319222</v>
      </c>
      <c r="J45" s="2">
        <f t="shared" si="6"/>
        <v>0.41866885097067269</v>
      </c>
      <c r="K45" s="2">
        <f t="shared" si="7"/>
        <v>-0.90813897241936303</v>
      </c>
      <c r="L45" s="4">
        <f t="shared" si="8"/>
        <v>0.30743135165646812</v>
      </c>
      <c r="M45" s="4">
        <f t="shared" si="9"/>
        <v>-7.1510172059747037E-2</v>
      </c>
    </row>
    <row r="46" spans="1:13" x14ac:dyDescent="0.4">
      <c r="A46" s="1">
        <f t="shared" si="0"/>
        <v>2.2000000000000002</v>
      </c>
      <c r="B46" s="1">
        <f t="shared" si="12"/>
        <v>0.05</v>
      </c>
      <c r="C46" s="1">
        <v>0.2</v>
      </c>
      <c r="D46" s="1">
        <f t="shared" si="10"/>
        <v>0</v>
      </c>
      <c r="E46" s="1">
        <f t="shared" si="1"/>
        <v>0</v>
      </c>
      <c r="F46" s="1">
        <f t="shared" si="2"/>
        <v>0.125</v>
      </c>
      <c r="G46" s="4">
        <f t="shared" si="3"/>
        <v>-1.0447865152887095</v>
      </c>
      <c r="H46" s="4">
        <f t="shared" si="4"/>
        <v>-1.2171762903113468</v>
      </c>
      <c r="I46" s="3">
        <f t="shared" si="5"/>
        <v>-69.739064358230394</v>
      </c>
      <c r="J46" s="2">
        <f t="shared" si="6"/>
        <v>0.37067872485596121</v>
      </c>
      <c r="K46" s="2">
        <f t="shared" si="7"/>
        <v>-0.92876115494736244</v>
      </c>
      <c r="L46" s="4">
        <f t="shared" si="8"/>
        <v>0.30974809368681788</v>
      </c>
      <c r="M46" s="4">
        <f t="shared" si="9"/>
        <v>-7.7314929278168049E-2</v>
      </c>
    </row>
    <row r="47" spans="1:13" x14ac:dyDescent="0.4">
      <c r="A47" s="1">
        <f t="shared" si="0"/>
        <v>2.25</v>
      </c>
      <c r="B47" s="1">
        <f t="shared" si="12"/>
        <v>0.05</v>
      </c>
      <c r="C47" s="1">
        <v>0.2</v>
      </c>
      <c r="D47" s="1">
        <f t="shared" si="10"/>
        <v>0</v>
      </c>
      <c r="E47" s="1">
        <f t="shared" si="1"/>
        <v>0</v>
      </c>
      <c r="F47" s="1">
        <f t="shared" si="2"/>
        <v>0.125</v>
      </c>
      <c r="G47" s="4">
        <f t="shared" si="3"/>
        <v>-1.0447865152887095</v>
      </c>
      <c r="H47" s="4">
        <f t="shared" si="4"/>
        <v>-1.2694156160757823</v>
      </c>
      <c r="I47" s="3">
        <f t="shared" si="5"/>
        <v>-72.732157249141579</v>
      </c>
      <c r="J47" s="2">
        <f t="shared" si="6"/>
        <v>0.32167726610997194</v>
      </c>
      <c r="K47" s="2">
        <f t="shared" si="7"/>
        <v>-0.94684937369573963</v>
      </c>
      <c r="L47" s="4">
        <f t="shared" si="8"/>
        <v>0.31175857660000522</v>
      </c>
      <c r="M47" s="4">
        <f t="shared" si="9"/>
        <v>-8.3232737863766421E-2</v>
      </c>
    </row>
    <row r="48" spans="1:13" x14ac:dyDescent="0.4">
      <c r="A48" s="1">
        <f t="shared" si="0"/>
        <v>2.2999999999999998</v>
      </c>
      <c r="B48" s="1">
        <f t="shared" si="12"/>
        <v>0.05</v>
      </c>
      <c r="C48" s="1">
        <v>0.2</v>
      </c>
      <c r="D48" s="1">
        <f t="shared" si="10"/>
        <v>0</v>
      </c>
      <c r="E48" s="1">
        <f t="shared" si="1"/>
        <v>0</v>
      </c>
      <c r="F48" s="1">
        <f t="shared" si="2"/>
        <v>0.125</v>
      </c>
      <c r="G48" s="4">
        <f t="shared" si="3"/>
        <v>-1.0447865152887095</v>
      </c>
      <c r="H48" s="4">
        <f t="shared" si="4"/>
        <v>-1.3216549418402179</v>
      </c>
      <c r="I48" s="3">
        <f t="shared" si="5"/>
        <v>-75.725250140052765</v>
      </c>
      <c r="J48" s="2">
        <f t="shared" si="6"/>
        <v>0.2717981667168598</v>
      </c>
      <c r="K48" s="2">
        <f t="shared" si="7"/>
        <v>-0.96235427809583418</v>
      </c>
      <c r="L48" s="4">
        <f t="shared" si="8"/>
        <v>0.3134573151419856</v>
      </c>
      <c r="M48" s="4">
        <f t="shared" si="9"/>
        <v>-8.9247452101865382E-2</v>
      </c>
    </row>
    <row r="49" spans="1:13" x14ac:dyDescent="0.4">
      <c r="A49" s="1">
        <f t="shared" si="0"/>
        <v>2.3499999999999996</v>
      </c>
      <c r="B49" s="1">
        <f t="shared" si="12"/>
        <v>0.05</v>
      </c>
      <c r="C49" s="1">
        <v>0.2</v>
      </c>
      <c r="D49" s="1">
        <f t="shared" si="10"/>
        <v>0</v>
      </c>
      <c r="E49" s="1">
        <f t="shared" si="1"/>
        <v>0</v>
      </c>
      <c r="F49" s="1">
        <f t="shared" si="2"/>
        <v>0.125</v>
      </c>
      <c r="G49" s="4">
        <f t="shared" si="3"/>
        <v>-1.0447865152887095</v>
      </c>
      <c r="H49" s="4">
        <f t="shared" si="4"/>
        <v>-1.3738942676046535</v>
      </c>
      <c r="I49" s="3">
        <f t="shared" si="5"/>
        <v>-78.71834303096395</v>
      </c>
      <c r="J49" s="2">
        <f t="shared" si="6"/>
        <v>0.22117751315111725</v>
      </c>
      <c r="K49" s="2">
        <f t="shared" si="7"/>
        <v>-0.97523356570428166</v>
      </c>
      <c r="L49" s="4">
        <f t="shared" si="8"/>
        <v>0.31483967459918011</v>
      </c>
      <c r="M49" s="4">
        <f t="shared" si="9"/>
        <v>-9.5342661887517138E-2</v>
      </c>
    </row>
    <row r="50" spans="1:13" x14ac:dyDescent="0.4">
      <c r="A50" s="1">
        <f t="shared" si="0"/>
        <v>2.3999999999999995</v>
      </c>
      <c r="B50" s="1">
        <f t="shared" si="12"/>
        <v>0.05</v>
      </c>
      <c r="C50" s="1">
        <v>0.2</v>
      </c>
      <c r="D50" s="1">
        <f t="shared" si="10"/>
        <v>0</v>
      </c>
      <c r="E50" s="1">
        <f t="shared" si="1"/>
        <v>0</v>
      </c>
      <c r="F50" s="1">
        <f t="shared" si="2"/>
        <v>0.125</v>
      </c>
      <c r="G50" s="4">
        <f t="shared" si="3"/>
        <v>-1.0447865152887095</v>
      </c>
      <c r="H50" s="4">
        <f t="shared" si="4"/>
        <v>-1.4261335933690891</v>
      </c>
      <c r="I50" s="3">
        <f t="shared" si="5"/>
        <v>-81.711435921875136</v>
      </c>
      <c r="J50" s="2">
        <f t="shared" si="6"/>
        <v>0.16995341508922368</v>
      </c>
      <c r="K50" s="2">
        <f t="shared" si="7"/>
        <v>-0.98545209761789543</v>
      </c>
      <c r="L50" s="4">
        <f t="shared" si="8"/>
        <v>0.31590188344348774</v>
      </c>
      <c r="M50" s="4">
        <f t="shared" si="9"/>
        <v>-0.10150173749762899</v>
      </c>
    </row>
    <row r="51" spans="1:13" x14ac:dyDescent="0.4">
      <c r="A51" s="1">
        <f t="shared" si="0"/>
        <v>2.4499999999999993</v>
      </c>
      <c r="B51" s="1">
        <f t="shared" si="12"/>
        <v>0.05</v>
      </c>
      <c r="C51" s="1">
        <v>0.2</v>
      </c>
      <c r="D51" s="1">
        <f t="shared" si="10"/>
        <v>0</v>
      </c>
      <c r="E51" s="1">
        <f t="shared" si="1"/>
        <v>0</v>
      </c>
      <c r="F51" s="1">
        <f t="shared" si="2"/>
        <v>0.125</v>
      </c>
      <c r="G51" s="4">
        <f t="shared" si="3"/>
        <v>-1.0447865152887095</v>
      </c>
      <c r="H51" s="4">
        <f t="shared" si="4"/>
        <v>-1.4783729191335246</v>
      </c>
      <c r="I51" s="3">
        <f t="shared" si="5"/>
        <v>-84.704528812786307</v>
      </c>
      <c r="J51" s="2">
        <f t="shared" si="6"/>
        <v>0.11826562860133905</v>
      </c>
      <c r="K51" s="2">
        <f t="shared" si="7"/>
        <v>-0.99298199434407175</v>
      </c>
      <c r="L51" s="4">
        <f t="shared" si="8"/>
        <v>0.3166410436222461</v>
      </c>
      <c r="M51" s="4">
        <f t="shared" si="9"/>
        <v>-0.10770787496227943</v>
      </c>
    </row>
    <row r="52" spans="1:13" x14ac:dyDescent="0.4">
      <c r="A52" s="1">
        <f t="shared" si="0"/>
        <v>2.4999999999999991</v>
      </c>
      <c r="B52" s="1">
        <f t="shared" si="12"/>
        <v>0.05</v>
      </c>
      <c r="C52" s="1">
        <v>0.2</v>
      </c>
      <c r="D52" s="1">
        <f t="shared" si="10"/>
        <v>0</v>
      </c>
      <c r="E52" s="1">
        <f t="shared" si="1"/>
        <v>0</v>
      </c>
      <c r="F52" s="1">
        <f t="shared" si="2"/>
        <v>0.125</v>
      </c>
      <c r="G52" s="4">
        <f t="shared" si="3"/>
        <v>-1.0447865152887095</v>
      </c>
      <c r="H52" s="4">
        <f t="shared" si="4"/>
        <v>-1.5306122448979602</v>
      </c>
      <c r="I52" s="3">
        <f t="shared" si="5"/>
        <v>-87.697621703697493</v>
      </c>
      <c r="J52" s="2">
        <f t="shared" si="6"/>
        <v>6.6255174851097762E-2</v>
      </c>
      <c r="K52" s="2">
        <f t="shared" si="7"/>
        <v>-0.99780271186515146</v>
      </c>
      <c r="L52" s="4">
        <f t="shared" si="8"/>
        <v>0.31705513846506544</v>
      </c>
      <c r="M52" s="4">
        <f t="shared" si="9"/>
        <v>-0.11394414191143663</v>
      </c>
    </row>
    <row r="53" spans="1:13" x14ac:dyDescent="0.4">
      <c r="A53" s="1">
        <f t="shared" si="0"/>
        <v>2.5499999999999989</v>
      </c>
      <c r="B53" s="1">
        <f t="shared" si="12"/>
        <v>0.05</v>
      </c>
      <c r="C53" s="1">
        <v>0.2</v>
      </c>
      <c r="D53" s="1">
        <f t="shared" si="10"/>
        <v>0</v>
      </c>
      <c r="E53" s="1">
        <f t="shared" si="1"/>
        <v>0</v>
      </c>
      <c r="F53" s="1">
        <f t="shared" si="2"/>
        <v>0.125</v>
      </c>
      <c r="G53" s="4">
        <f t="shared" si="3"/>
        <v>-1.0447865152887095</v>
      </c>
      <c r="H53" s="4">
        <f t="shared" si="4"/>
        <v>-1.5828515706623958</v>
      </c>
      <c r="I53" s="3">
        <f t="shared" si="5"/>
        <v>-90.690714594608664</v>
      </c>
      <c r="J53" s="2">
        <f t="shared" si="6"/>
        <v>1.406395534381453E-2</v>
      </c>
      <c r="K53" s="2">
        <f t="shared" si="7"/>
        <v>-0.99990109768921009</v>
      </c>
      <c r="L53" s="4">
        <f t="shared" si="8"/>
        <v>0.31714303818596429</v>
      </c>
      <c r="M53" s="4">
        <f t="shared" si="9"/>
        <v>-0.1201935237719942</v>
      </c>
    </row>
    <row r="54" spans="1:13" x14ac:dyDescent="0.4">
      <c r="A54" s="1">
        <f t="shared" si="0"/>
        <v>2.5999999999999988</v>
      </c>
      <c r="B54" s="1">
        <f t="shared" si="12"/>
        <v>0.05</v>
      </c>
      <c r="C54" s="1">
        <v>0.2</v>
      </c>
      <c r="D54" s="1">
        <f t="shared" si="10"/>
        <v>0</v>
      </c>
      <c r="E54" s="1">
        <f t="shared" si="1"/>
        <v>0</v>
      </c>
      <c r="F54" s="1">
        <f t="shared" si="2"/>
        <v>0.125</v>
      </c>
      <c r="G54" s="4">
        <f t="shared" si="3"/>
        <v>-1.0447865152887095</v>
      </c>
      <c r="H54" s="4">
        <f t="shared" si="4"/>
        <v>-1.6350908964268314</v>
      </c>
      <c r="I54" s="3">
        <f t="shared" si="5"/>
        <v>-93.68380748551985</v>
      </c>
      <c r="J54" s="2">
        <f t="shared" si="6"/>
        <v>-3.8165635227169648E-2</v>
      </c>
      <c r="K54" s="2">
        <f t="shared" si="7"/>
        <v>-0.99927142673435165</v>
      </c>
      <c r="L54" s="4">
        <f t="shared" si="8"/>
        <v>0.31690450296579448</v>
      </c>
      <c r="M54" s="4">
        <f t="shared" si="9"/>
        <v>-0.1264389701890839</v>
      </c>
    </row>
    <row r="55" spans="1:13" x14ac:dyDescent="0.4">
      <c r="A55" s="1">
        <f t="shared" si="0"/>
        <v>2.6499999999999986</v>
      </c>
      <c r="B55" s="1">
        <f t="shared" si="12"/>
        <v>0.05</v>
      </c>
      <c r="C55" s="1">
        <v>0.2</v>
      </c>
      <c r="D55" s="1">
        <f t="shared" si="10"/>
        <v>0</v>
      </c>
      <c r="E55" s="1">
        <f t="shared" si="1"/>
        <v>0</v>
      </c>
      <c r="F55" s="1">
        <f t="shared" si="2"/>
        <v>0.125</v>
      </c>
      <c r="G55" s="4">
        <f t="shared" si="3"/>
        <v>-1.0447865152887095</v>
      </c>
      <c r="H55" s="4">
        <f t="shared" si="4"/>
        <v>-1.6873302221912669</v>
      </c>
      <c r="I55" s="3">
        <f t="shared" si="5"/>
        <v>-96.676900376431036</v>
      </c>
      <c r="J55" s="2">
        <f t="shared" si="6"/>
        <v>-9.0291097479719362E-2</v>
      </c>
      <c r="K55" s="2">
        <f t="shared" si="7"/>
        <v>-0.99591541694860197</v>
      </c>
      <c r="L55" s="4">
        <f t="shared" si="8"/>
        <v>0.31634018360654625</v>
      </c>
      <c r="M55" s="4">
        <f t="shared" si="9"/>
        <v>-0.13266344154501267</v>
      </c>
    </row>
    <row r="56" spans="1:13" x14ac:dyDescent="0.4">
      <c r="A56" s="1">
        <f t="shared" si="0"/>
        <v>2.6999999999999984</v>
      </c>
      <c r="B56" s="1">
        <f t="shared" si="12"/>
        <v>0.05</v>
      </c>
      <c r="C56" s="1">
        <v>0.2</v>
      </c>
      <c r="D56" s="1">
        <f t="shared" si="10"/>
        <v>0</v>
      </c>
      <c r="E56" s="1">
        <f t="shared" si="1"/>
        <v>0</v>
      </c>
      <c r="F56" s="1">
        <f t="shared" si="2"/>
        <v>0.125</v>
      </c>
      <c r="G56" s="4">
        <f t="shared" si="3"/>
        <v>-1.0447865152887095</v>
      </c>
      <c r="H56" s="4">
        <f t="shared" si="4"/>
        <v>-1.7395695479557025</v>
      </c>
      <c r="I56" s="3">
        <f t="shared" si="5"/>
        <v>-99.669993267342221</v>
      </c>
      <c r="J56" s="2">
        <f t="shared" si="6"/>
        <v>-0.14217021612776193</v>
      </c>
      <c r="K56" s="2">
        <f t="shared" si="7"/>
        <v>-0.98984222462278582</v>
      </c>
      <c r="L56" s="4">
        <f t="shared" si="8"/>
        <v>0.31545161975574776</v>
      </c>
      <c r="M56" s="4">
        <f t="shared" si="9"/>
        <v>-0.13884995544890508</v>
      </c>
    </row>
    <row r="57" spans="1:13" x14ac:dyDescent="0.4">
      <c r="A57" s="1">
        <f t="shared" si="0"/>
        <v>2.7499999999999982</v>
      </c>
      <c r="B57" s="1">
        <f t="shared" si="12"/>
        <v>0.05</v>
      </c>
      <c r="C57" s="1">
        <v>0.2</v>
      </c>
      <c r="D57" s="1">
        <f t="shared" si="10"/>
        <v>0</v>
      </c>
      <c r="E57" s="1">
        <f t="shared" si="1"/>
        <v>0</v>
      </c>
      <c r="F57" s="1">
        <f t="shared" si="2"/>
        <v>0.125</v>
      </c>
      <c r="G57" s="4">
        <f t="shared" si="3"/>
        <v>-1.0447865152887095</v>
      </c>
      <c r="H57" s="4">
        <f t="shared" si="4"/>
        <v>-1.7918088737201381</v>
      </c>
      <c r="I57" s="3">
        <f t="shared" si="5"/>
        <v>-102.66308615825341</v>
      </c>
      <c r="J57" s="2">
        <f t="shared" si="6"/>
        <v>-0.19366144799103771</v>
      </c>
      <c r="K57" s="2">
        <f t="shared" si="7"/>
        <v>-0.98106841940917378</v>
      </c>
      <c r="L57" s="4">
        <f t="shared" si="8"/>
        <v>0.31424123570580376</v>
      </c>
      <c r="M57" s="4">
        <f t="shared" si="9"/>
        <v>-0.14498163307021242</v>
      </c>
    </row>
    <row r="58" spans="1:13" x14ac:dyDescent="0.4">
      <c r="A58" s="1">
        <f t="shared" si="0"/>
        <v>2.799999999999998</v>
      </c>
      <c r="B58" s="1">
        <f t="shared" si="12"/>
        <v>0.05</v>
      </c>
      <c r="C58" s="1">
        <v>0.2</v>
      </c>
      <c r="D58" s="1">
        <f t="shared" si="10"/>
        <v>0</v>
      </c>
      <c r="E58" s="1">
        <f t="shared" si="1"/>
        <v>0</v>
      </c>
      <c r="F58" s="1">
        <f t="shared" si="2"/>
        <v>0.125</v>
      </c>
      <c r="G58" s="4">
        <f t="shared" si="3"/>
        <v>-1.0447865152887095</v>
      </c>
      <c r="H58" s="4">
        <f t="shared" si="4"/>
        <v>-1.8440481994845737</v>
      </c>
      <c r="I58" s="3">
        <f t="shared" si="5"/>
        <v>-105.65617904916458</v>
      </c>
      <c r="J58" s="2">
        <f t="shared" si="6"/>
        <v>-0.24462430817112624</v>
      </c>
      <c r="K58" s="2">
        <f t="shared" si="7"/>
        <v>-0.96961793911406047</v>
      </c>
      <c r="L58" s="4">
        <f t="shared" si="8"/>
        <v>0.31271233377973423</v>
      </c>
      <c r="M58" s="4">
        <f t="shared" si="9"/>
        <v>-0.15104174518967531</v>
      </c>
    </row>
    <row r="59" spans="1:13" x14ac:dyDescent="0.4">
      <c r="A59" s="1">
        <f t="shared" si="0"/>
        <v>2.8499999999999979</v>
      </c>
      <c r="B59" s="1">
        <f t="shared" si="12"/>
        <v>0.05</v>
      </c>
      <c r="C59" s="1">
        <v>0.2</v>
      </c>
      <c r="D59" s="1">
        <f t="shared" si="10"/>
        <v>0</v>
      </c>
      <c r="E59" s="1">
        <f t="shared" si="1"/>
        <v>0</v>
      </c>
      <c r="F59" s="1">
        <f t="shared" si="2"/>
        <v>0.125</v>
      </c>
      <c r="G59" s="4">
        <f t="shared" si="3"/>
        <v>-1.0447865152887095</v>
      </c>
      <c r="H59" s="4">
        <f t="shared" si="4"/>
        <v>-1.8962875252490092</v>
      </c>
      <c r="I59" s="3">
        <f t="shared" si="5"/>
        <v>-108.64927194007576</v>
      </c>
      <c r="J59" s="2">
        <f t="shared" si="6"/>
        <v>-0.29491975334013376</v>
      </c>
      <c r="K59" s="2">
        <f t="shared" si="7"/>
        <v>-0.95552202438760914</v>
      </c>
      <c r="L59" s="4">
        <f t="shared" si="8"/>
        <v>0.31086908532135837</v>
      </c>
      <c r="M59" s="4">
        <f t="shared" si="9"/>
        <v>-0.15701375784209787</v>
      </c>
    </row>
    <row r="60" spans="1:13" x14ac:dyDescent="0.4">
      <c r="A60" s="1">
        <f t="shared" si="0"/>
        <v>2.8999999999999977</v>
      </c>
      <c r="B60" s="1">
        <f t="shared" si="12"/>
        <v>0.05</v>
      </c>
      <c r="C60" s="1">
        <v>0.2</v>
      </c>
      <c r="D60" s="1">
        <f t="shared" si="10"/>
        <v>0</v>
      </c>
      <c r="E60" s="1">
        <f t="shared" si="1"/>
        <v>0</v>
      </c>
      <c r="F60" s="1">
        <f t="shared" si="2"/>
        <v>0.125</v>
      </c>
      <c r="G60" s="4">
        <f t="shared" si="3"/>
        <v>-1.0447865152887095</v>
      </c>
      <c r="H60" s="4">
        <f t="shared" si="4"/>
        <v>-1.9485268510134448</v>
      </c>
      <c r="I60" s="3">
        <f t="shared" si="5"/>
        <v>-111.64236483098693</v>
      </c>
      <c r="J60" s="2">
        <f t="shared" si="6"/>
        <v>-0.34441056109630575</v>
      </c>
      <c r="K60" s="2">
        <f t="shared" si="7"/>
        <v>-0.93881913348915502</v>
      </c>
      <c r="L60" s="4">
        <f t="shared" si="8"/>
        <v>0.30871651931450644</v>
      </c>
      <c r="M60" s="4">
        <f t="shared" si="9"/>
        <v>-0.1628813774264051</v>
      </c>
    </row>
    <row r="61" spans="1:13" x14ac:dyDescent="0.4">
      <c r="A61" s="1">
        <f t="shared" si="0"/>
        <v>2.9499999999999975</v>
      </c>
      <c r="B61" s="1">
        <f t="shared" si="12"/>
        <v>0.05</v>
      </c>
      <c r="C61" s="1">
        <v>0.2</v>
      </c>
      <c r="D61" s="1">
        <f t="shared" si="10"/>
        <v>0</v>
      </c>
      <c r="E61" s="1">
        <f t="shared" si="1"/>
        <v>0</v>
      </c>
      <c r="F61" s="1">
        <f t="shared" si="2"/>
        <v>0.125</v>
      </c>
      <c r="G61" s="4">
        <f t="shared" si="3"/>
        <v>-1.0447865152887095</v>
      </c>
      <c r="H61" s="4">
        <f t="shared" si="4"/>
        <v>-2.0007661767778804</v>
      </c>
      <c r="I61" s="3">
        <f t="shared" si="5"/>
        <v>-114.63545772189812</v>
      </c>
      <c r="J61" s="2">
        <f t="shared" si="6"/>
        <v>-0.39296170435155781</v>
      </c>
      <c r="K61" s="2">
        <f t="shared" si="7"/>
        <v>-0.91955483736051269</v>
      </c>
      <c r="L61" s="4">
        <f t="shared" si="8"/>
        <v>0.30626050866230919</v>
      </c>
      <c r="M61" s="4">
        <f t="shared" si="9"/>
        <v>-0.1686285951599083</v>
      </c>
    </row>
    <row r="62" spans="1:13" x14ac:dyDescent="0.4">
      <c r="A62" s="1">
        <f t="shared" si="0"/>
        <v>2.9999999999999973</v>
      </c>
      <c r="B62" s="1">
        <f t="shared" si="12"/>
        <v>0.05</v>
      </c>
      <c r="C62" s="1">
        <v>0.2</v>
      </c>
      <c r="D62" s="1">
        <f t="shared" si="10"/>
        <v>0</v>
      </c>
      <c r="E62" s="1">
        <f t="shared" si="1"/>
        <v>0</v>
      </c>
      <c r="F62" s="1">
        <f t="shared" si="2"/>
        <v>0.125</v>
      </c>
      <c r="G62" s="4">
        <f t="shared" si="3"/>
        <v>-1.0447865152887095</v>
      </c>
      <c r="H62" s="4">
        <f t="shared" si="4"/>
        <v>-2.053005502542316</v>
      </c>
      <c r="I62" s="3">
        <f t="shared" si="5"/>
        <v>-117.62855061280931</v>
      </c>
      <c r="J62" s="2">
        <f t="shared" si="6"/>
        <v>-0.44044071972947407</v>
      </c>
      <c r="K62" s="2">
        <f t="shared" si="7"/>
        <v>-0.89778169529356233</v>
      </c>
      <c r="L62" s="4">
        <f t="shared" si="8"/>
        <v>0.303507754164</v>
      </c>
      <c r="M62" s="4">
        <f t="shared" si="9"/>
        <v>-0.17423973075549307</v>
      </c>
    </row>
    <row r="63" spans="1:13" x14ac:dyDescent="0.4">
      <c r="A63" s="1">
        <f t="shared" si="0"/>
        <v>3.0499999999999972</v>
      </c>
      <c r="B63" s="1">
        <f t="shared" si="12"/>
        <v>0.05</v>
      </c>
      <c r="C63" s="1">
        <v>0.2</v>
      </c>
      <c r="D63" s="1">
        <f t="shared" si="10"/>
        <v>0</v>
      </c>
      <c r="E63" s="1">
        <f t="shared" si="1"/>
        <v>0</v>
      </c>
      <c r="F63" s="1">
        <f t="shared" si="2"/>
        <v>0.125</v>
      </c>
      <c r="G63" s="4">
        <f t="shared" si="3"/>
        <v>-1.0447865152887095</v>
      </c>
      <c r="H63" s="4">
        <f t="shared" si="4"/>
        <v>-2.1052448283067515</v>
      </c>
      <c r="I63" s="3">
        <f t="shared" si="5"/>
        <v>-120.62164350372049</v>
      </c>
      <c r="J63" s="2">
        <f t="shared" si="6"/>
        <v>-0.48671806896866393</v>
      </c>
      <c r="K63" s="2">
        <f t="shared" si="7"/>
        <v>-0.8735591115313347</v>
      </c>
      <c r="L63" s="4">
        <f t="shared" si="8"/>
        <v>0.30046576623294585</v>
      </c>
      <c r="M63" s="4">
        <f t="shared" si="9"/>
        <v>-0.17969947520256391</v>
      </c>
    </row>
    <row r="64" spans="1:13" x14ac:dyDescent="0.4">
      <c r="A64" s="1">
        <f t="shared" si="0"/>
        <v>3.099999999999997</v>
      </c>
      <c r="B64" s="1">
        <f t="shared" si="12"/>
        <v>0.05</v>
      </c>
      <c r="C64" s="1">
        <v>0.2</v>
      </c>
      <c r="D64" s="1">
        <f t="shared" si="10"/>
        <v>0</v>
      </c>
      <c r="E64" s="1">
        <f t="shared" si="1"/>
        <v>0</v>
      </c>
      <c r="F64" s="1">
        <f t="shared" si="2"/>
        <v>0.125</v>
      </c>
      <c r="G64" s="4">
        <f t="shared" si="3"/>
        <v>-1.0447865152887095</v>
      </c>
      <c r="H64" s="4">
        <f t="shared" si="4"/>
        <v>-2.1574841540711871</v>
      </c>
      <c r="I64" s="3">
        <f t="shared" si="5"/>
        <v>-123.61473639463166</v>
      </c>
      <c r="J64" s="2">
        <f t="shared" si="6"/>
        <v>-0.53166749234544519</v>
      </c>
      <c r="K64" s="2">
        <f t="shared" si="7"/>
        <v>-0.84695317319383479</v>
      </c>
      <c r="L64" s="4">
        <f t="shared" si="8"/>
        <v>0.29714284440578681</v>
      </c>
      <c r="M64" s="4">
        <f t="shared" si="9"/>
        <v>-0.18499293253502538</v>
      </c>
    </row>
    <row r="65" spans="1:13" x14ac:dyDescent="0.4">
      <c r="A65" s="1">
        <f t="shared" si="0"/>
        <v>3.1499999999999968</v>
      </c>
      <c r="B65" s="1">
        <f t="shared" si="12"/>
        <v>0.05</v>
      </c>
      <c r="C65" s="1">
        <v>0.2</v>
      </c>
      <c r="D65" s="1">
        <f t="shared" si="10"/>
        <v>0</v>
      </c>
      <c r="E65" s="1">
        <f t="shared" si="1"/>
        <v>0</v>
      </c>
      <c r="F65" s="1">
        <f t="shared" si="2"/>
        <v>0.125</v>
      </c>
      <c r="G65" s="4">
        <f t="shared" si="3"/>
        <v>-1.0447865152887095</v>
      </c>
      <c r="H65" s="4">
        <f t="shared" si="4"/>
        <v>-2.2097234798356227</v>
      </c>
      <c r="I65" s="3">
        <f t="shared" si="5"/>
        <v>-126.60782928554285</v>
      </c>
      <c r="J65" s="2">
        <f t="shared" si="6"/>
        <v>-0.57516635315161435</v>
      </c>
      <c r="K65" s="2">
        <f t="shared" si="7"/>
        <v>-0.81803646997079071</v>
      </c>
      <c r="L65" s="4">
        <f t="shared" si="8"/>
        <v>0.29354805469858924</v>
      </c>
      <c r="M65" s="4">
        <f t="shared" si="9"/>
        <v>-0.19010566047234281</v>
      </c>
    </row>
    <row r="66" spans="1:13" x14ac:dyDescent="0.4">
      <c r="A66" s="1">
        <f t="shared" si="0"/>
        <v>3.1999999999999966</v>
      </c>
      <c r="B66" s="1">
        <f t="shared" si="12"/>
        <v>0.05</v>
      </c>
      <c r="C66" s="1">
        <v>0.2</v>
      </c>
      <c r="D66" s="1">
        <f t="shared" si="10"/>
        <v>0</v>
      </c>
      <c r="E66" s="1">
        <f t="shared" si="1"/>
        <v>0</v>
      </c>
      <c r="F66" s="1">
        <f t="shared" si="2"/>
        <v>0.125</v>
      </c>
      <c r="G66" s="4">
        <f t="shared" si="3"/>
        <v>-1.0447865152887095</v>
      </c>
      <c r="H66" s="4">
        <f t="shared" si="4"/>
        <v>-2.2619628056000582</v>
      </c>
      <c r="I66" s="3">
        <f t="shared" si="5"/>
        <v>-129.60092217645402</v>
      </c>
      <c r="J66" s="2">
        <f t="shared" si="6"/>
        <v>-0.61709597228743507</v>
      </c>
      <c r="K66" s="2">
        <f t="shared" si="7"/>
        <v>-0.78688789607327492</v>
      </c>
      <c r="L66" s="4">
        <f t="shared" si="8"/>
        <v>0.28969120487179278</v>
      </c>
      <c r="M66" s="4">
        <f t="shared" si="9"/>
        <v>-0.19502370982280079</v>
      </c>
    </row>
    <row r="67" spans="1:13" x14ac:dyDescent="0.4">
      <c r="A67" s="1">
        <f t="shared" si="0"/>
        <v>3.2499999999999964</v>
      </c>
      <c r="B67" s="1">
        <f t="shared" si="12"/>
        <v>0.05</v>
      </c>
      <c r="C67" s="1">
        <v>0.2</v>
      </c>
      <c r="D67" s="1">
        <f t="shared" si="10"/>
        <v>0</v>
      </c>
      <c r="E67" s="1">
        <f t="shared" si="1"/>
        <v>0</v>
      </c>
      <c r="F67" s="1">
        <f t="shared" si="2"/>
        <v>0.125</v>
      </c>
      <c r="G67" s="4">
        <f t="shared" si="3"/>
        <v>-1.0447865152887095</v>
      </c>
      <c r="H67" s="4">
        <f t="shared" si="4"/>
        <v>-2.3142021313644938</v>
      </c>
      <c r="I67" s="3">
        <f t="shared" si="5"/>
        <v>-132.59401506736521</v>
      </c>
      <c r="J67" s="2">
        <f t="shared" si="6"/>
        <v>-0.65734195205699142</v>
      </c>
      <c r="K67" s="2">
        <f t="shared" si="7"/>
        <v>-0.75359243498452388</v>
      </c>
      <c r="L67" s="4">
        <f t="shared" si="8"/>
        <v>0.28558281767143656</v>
      </c>
      <c r="M67" s="4">
        <f t="shared" si="9"/>
        <v>-0.19973366254145405</v>
      </c>
    </row>
    <row r="68" spans="1:13" x14ac:dyDescent="0.4">
      <c r="A68" s="1">
        <f t="shared" ref="A68:A131" si="13">A67+$P$3</f>
        <v>3.2999999999999963</v>
      </c>
      <c r="B68" s="1">
        <f t="shared" si="12"/>
        <v>0.05</v>
      </c>
      <c r="C68" s="1">
        <v>0.2</v>
      </c>
      <c r="D68" s="1">
        <f t="shared" ref="D68:D131" si="14">(B68-B67)/$P$3</f>
        <v>0</v>
      </c>
      <c r="E68" s="1">
        <f t="shared" ref="E68:E131" si="15">(C68-C67)/$P$3</f>
        <v>0</v>
      </c>
      <c r="F68" s="1">
        <f t="shared" ref="F68:F131" si="16">(B68+C68)/2</f>
        <v>0.125</v>
      </c>
      <c r="G68" s="4">
        <f t="shared" ref="G68:G131" si="17">(B68-C68)/R$3</f>
        <v>-1.0447865152887095</v>
      </c>
      <c r="H68" s="4">
        <f t="shared" ref="H68:H131" si="18">H67+G68*P$3</f>
        <v>-2.3664414571289294</v>
      </c>
      <c r="I68" s="3">
        <f t="shared" ref="I68:I131" si="19">H68*180/PI()</f>
        <v>-135.58710795827639</v>
      </c>
      <c r="J68" s="2">
        <f t="shared" ref="J68:J131" si="20">COS((H68+H67)/2)</f>
        <v>-0.69579448828246082</v>
      </c>
      <c r="K68" s="2">
        <f t="shared" ref="K68:K131" si="21">SIN((H68+H67)/2)</f>
        <v>-0.71824092759724334</v>
      </c>
      <c r="L68" s="4">
        <f t="shared" ref="L68:L131" si="22">L67+F68*P$3*J68</f>
        <v>0.2812341021196712</v>
      </c>
      <c r="M68" s="4">
        <f t="shared" ref="M68:M131" si="23">M67+F68*P$3*K68</f>
        <v>-0.20422266833893682</v>
      </c>
    </row>
    <row r="69" spans="1:13" x14ac:dyDescent="0.4">
      <c r="A69" s="1">
        <f t="shared" si="13"/>
        <v>3.3499999999999961</v>
      </c>
      <c r="B69" s="1">
        <f t="shared" si="12"/>
        <v>0.05</v>
      </c>
      <c r="C69" s="1">
        <v>0.2</v>
      </c>
      <c r="D69" s="1">
        <f t="shared" si="14"/>
        <v>0</v>
      </c>
      <c r="E69" s="1">
        <f t="shared" si="15"/>
        <v>0</v>
      </c>
      <c r="F69" s="1">
        <f t="shared" si="16"/>
        <v>0.125</v>
      </c>
      <c r="G69" s="4">
        <f t="shared" si="17"/>
        <v>-1.0447865152887095</v>
      </c>
      <c r="H69" s="4">
        <f t="shared" si="18"/>
        <v>-2.418680782893365</v>
      </c>
      <c r="I69" s="3">
        <f t="shared" si="19"/>
        <v>-138.58020084918758</v>
      </c>
      <c r="J69" s="2">
        <f t="shared" si="20"/>
        <v>-0.73234866988577985</v>
      </c>
      <c r="K69" s="2">
        <f t="shared" si="21"/>
        <v>-0.68092982436997795</v>
      </c>
      <c r="L69" s="4">
        <f t="shared" si="22"/>
        <v>0.27665692293288507</v>
      </c>
      <c r="M69" s="4">
        <f t="shared" si="23"/>
        <v>-0.20847847974124917</v>
      </c>
    </row>
    <row r="70" spans="1:13" x14ac:dyDescent="0.4">
      <c r="A70" s="1">
        <f t="shared" si="13"/>
        <v>3.3999999999999959</v>
      </c>
      <c r="B70" s="1">
        <f t="shared" si="12"/>
        <v>0.05</v>
      </c>
      <c r="C70" s="1">
        <v>0.2</v>
      </c>
      <c r="D70" s="1">
        <f t="shared" si="14"/>
        <v>0</v>
      </c>
      <c r="E70" s="1">
        <f t="shared" si="15"/>
        <v>0</v>
      </c>
      <c r="F70" s="1">
        <f t="shared" si="16"/>
        <v>0.125</v>
      </c>
      <c r="G70" s="4">
        <f t="shared" si="17"/>
        <v>-1.0447865152887095</v>
      </c>
      <c r="H70" s="4">
        <f t="shared" si="18"/>
        <v>-2.4709201086578005</v>
      </c>
      <c r="I70" s="3">
        <f t="shared" si="19"/>
        <v>-141.57329374009873</v>
      </c>
      <c r="J70" s="2">
        <f t="shared" si="20"/>
        <v>-0.76690476512032646</v>
      </c>
      <c r="K70" s="2">
        <f t="shared" si="21"/>
        <v>-0.64176092217876346</v>
      </c>
      <c r="L70" s="4">
        <f t="shared" si="22"/>
        <v>0.27186376815088303</v>
      </c>
      <c r="M70" s="4">
        <f t="shared" si="23"/>
        <v>-0.21248948550486643</v>
      </c>
    </row>
    <row r="71" spans="1:13" x14ac:dyDescent="0.4">
      <c r="A71" s="1">
        <f t="shared" si="13"/>
        <v>3.4499999999999957</v>
      </c>
      <c r="B71" s="1">
        <f t="shared" si="12"/>
        <v>0.05</v>
      </c>
      <c r="C71" s="1">
        <v>0.2</v>
      </c>
      <c r="D71" s="1">
        <f t="shared" si="14"/>
        <v>0</v>
      </c>
      <c r="E71" s="1">
        <f t="shared" si="15"/>
        <v>0</v>
      </c>
      <c r="F71" s="1">
        <f t="shared" si="16"/>
        <v>0.125</v>
      </c>
      <c r="G71" s="4">
        <f t="shared" si="17"/>
        <v>-1.0447865152887095</v>
      </c>
      <c r="H71" s="4">
        <f t="shared" si="18"/>
        <v>-2.5231594344222361</v>
      </c>
      <c r="I71" s="3">
        <f t="shared" si="19"/>
        <v>-144.56638663100992</v>
      </c>
      <c r="J71" s="2">
        <f t="shared" si="20"/>
        <v>-0.79936849367170337</v>
      </c>
      <c r="K71" s="2">
        <f t="shared" si="21"/>
        <v>-0.60084108658199464</v>
      </c>
      <c r="L71" s="4">
        <f t="shared" si="22"/>
        <v>0.26686771506543489</v>
      </c>
      <c r="M71" s="4">
        <f t="shared" si="23"/>
        <v>-0.21624474229600391</v>
      </c>
    </row>
    <row r="72" spans="1:13" x14ac:dyDescent="0.4">
      <c r="A72" s="1">
        <f t="shared" si="13"/>
        <v>3.4999999999999956</v>
      </c>
      <c r="B72" s="1">
        <f t="shared" si="12"/>
        <v>0.05</v>
      </c>
      <c r="C72" s="1">
        <v>0.2</v>
      </c>
      <c r="D72" s="1">
        <f t="shared" si="14"/>
        <v>0</v>
      </c>
      <c r="E72" s="1">
        <f t="shared" si="15"/>
        <v>0</v>
      </c>
      <c r="F72" s="1">
        <f t="shared" si="16"/>
        <v>0.125</v>
      </c>
      <c r="G72" s="4">
        <f t="shared" si="17"/>
        <v>-1.0447865152887095</v>
      </c>
      <c r="H72" s="4">
        <f t="shared" si="18"/>
        <v>-2.5753987601866717</v>
      </c>
      <c r="I72" s="3">
        <f t="shared" si="19"/>
        <v>-147.55947952192111</v>
      </c>
      <c r="J72" s="2">
        <f t="shared" si="20"/>
        <v>-0.82965128388522469</v>
      </c>
      <c r="K72" s="2">
        <f t="shared" si="21"/>
        <v>-0.5582819602562834</v>
      </c>
      <c r="L72" s="4">
        <f t="shared" si="22"/>
        <v>0.26168239454115222</v>
      </c>
      <c r="M72" s="4">
        <f t="shared" si="23"/>
        <v>-0.21973400454760567</v>
      </c>
    </row>
    <row r="73" spans="1:13" x14ac:dyDescent="0.4">
      <c r="A73" s="1">
        <f t="shared" si="13"/>
        <v>3.5499999999999954</v>
      </c>
      <c r="B73" s="1">
        <f t="shared" si="12"/>
        <v>0.05</v>
      </c>
      <c r="C73" s="1">
        <v>0.2</v>
      </c>
      <c r="D73" s="1">
        <f t="shared" si="14"/>
        <v>0</v>
      </c>
      <c r="E73" s="1">
        <f t="shared" si="15"/>
        <v>0</v>
      </c>
      <c r="F73" s="1">
        <f t="shared" si="16"/>
        <v>0.125</v>
      </c>
      <c r="G73" s="4">
        <f t="shared" si="17"/>
        <v>-1.0447865152887095</v>
      </c>
      <c r="H73" s="4">
        <f t="shared" si="18"/>
        <v>-2.6276380859511073</v>
      </c>
      <c r="I73" s="3">
        <f t="shared" si="19"/>
        <v>-150.55257241283229</v>
      </c>
      <c r="J73" s="2">
        <f t="shared" si="20"/>
        <v>-0.85767051441832309</v>
      </c>
      <c r="K73" s="2">
        <f t="shared" si="21"/>
        <v>-0.51419965839876736</v>
      </c>
      <c r="L73" s="4">
        <f t="shared" si="22"/>
        <v>0.25632195382603767</v>
      </c>
      <c r="M73" s="4">
        <f t="shared" si="23"/>
        <v>-0.22294775241259795</v>
      </c>
    </row>
    <row r="74" spans="1:13" x14ac:dyDescent="0.4">
      <c r="A74" s="1">
        <f t="shared" si="13"/>
        <v>3.5999999999999952</v>
      </c>
      <c r="B74" s="1">
        <f t="shared" si="12"/>
        <v>0.05</v>
      </c>
      <c r="C74" s="1">
        <v>0.2</v>
      </c>
      <c r="D74" s="1">
        <f t="shared" si="14"/>
        <v>0</v>
      </c>
      <c r="E74" s="1">
        <f t="shared" si="15"/>
        <v>0</v>
      </c>
      <c r="F74" s="1">
        <f t="shared" si="16"/>
        <v>0.125</v>
      </c>
      <c r="G74" s="4">
        <f t="shared" si="17"/>
        <v>-1.0447865152887095</v>
      </c>
      <c r="H74" s="4">
        <f t="shared" si="18"/>
        <v>-2.6798774117155428</v>
      </c>
      <c r="I74" s="3">
        <f t="shared" si="19"/>
        <v>-153.54566530374348</v>
      </c>
      <c r="J74" s="2">
        <f t="shared" si="20"/>
        <v>-0.88334973965855423</v>
      </c>
      <c r="K74" s="2">
        <f t="shared" si="21"/>
        <v>-0.46871445192693229</v>
      </c>
      <c r="L74" s="4">
        <f t="shared" si="22"/>
        <v>0.25080101795317172</v>
      </c>
      <c r="M74" s="4">
        <f t="shared" si="23"/>
        <v>-0.22587721773714128</v>
      </c>
    </row>
    <row r="75" spans="1:13" x14ac:dyDescent="0.4">
      <c r="A75" s="1">
        <f t="shared" si="13"/>
        <v>3.649999999999995</v>
      </c>
      <c r="B75" s="1">
        <f t="shared" si="12"/>
        <v>0.05</v>
      </c>
      <c r="C75" s="1">
        <v>0.2</v>
      </c>
      <c r="D75" s="1">
        <f t="shared" si="14"/>
        <v>0</v>
      </c>
      <c r="E75" s="1">
        <f t="shared" si="15"/>
        <v>0</v>
      </c>
      <c r="F75" s="1">
        <f t="shared" si="16"/>
        <v>0.125</v>
      </c>
      <c r="G75" s="4">
        <f t="shared" si="17"/>
        <v>-1.0447865152887095</v>
      </c>
      <c r="H75" s="4">
        <f t="shared" si="18"/>
        <v>-2.7321167374799784</v>
      </c>
      <c r="I75" s="3">
        <f t="shared" si="19"/>
        <v>-156.53875819465466</v>
      </c>
      <c r="J75" s="2">
        <f t="shared" si="20"/>
        <v>-0.90661889829219899</v>
      </c>
      <c r="K75" s="2">
        <f t="shared" si="21"/>
        <v>-0.421950439340261</v>
      </c>
      <c r="L75" s="4">
        <f t="shared" si="22"/>
        <v>0.24513464983884548</v>
      </c>
      <c r="M75" s="4">
        <f t="shared" si="23"/>
        <v>-0.22851440798301792</v>
      </c>
    </row>
    <row r="76" spans="1:13" x14ac:dyDescent="0.4">
      <c r="A76" s="1">
        <f t="shared" si="13"/>
        <v>3.6999999999999948</v>
      </c>
      <c r="B76" s="1">
        <f t="shared" si="12"/>
        <v>0.05</v>
      </c>
      <c r="C76" s="1">
        <v>0.2</v>
      </c>
      <c r="D76" s="1">
        <f t="shared" si="14"/>
        <v>0</v>
      </c>
      <c r="E76" s="1">
        <f t="shared" si="15"/>
        <v>0</v>
      </c>
      <c r="F76" s="1">
        <f t="shared" si="16"/>
        <v>0.125</v>
      </c>
      <c r="G76" s="4">
        <f t="shared" si="17"/>
        <v>-1.0447865152887095</v>
      </c>
      <c r="H76" s="4">
        <f t="shared" si="18"/>
        <v>-2.784356063244414</v>
      </c>
      <c r="I76" s="3">
        <f t="shared" si="19"/>
        <v>-159.53185108556585</v>
      </c>
      <c r="J76" s="2">
        <f t="shared" si="20"/>
        <v>-0.92741450445440787</v>
      </c>
      <c r="K76" s="2">
        <f t="shared" si="21"/>
        <v>-0.3740352081390001</v>
      </c>
      <c r="L76" s="4">
        <f t="shared" si="22"/>
        <v>0.23933830918600543</v>
      </c>
      <c r="M76" s="4">
        <f t="shared" si="23"/>
        <v>-0.23085212803388666</v>
      </c>
    </row>
    <row r="77" spans="1:13" x14ac:dyDescent="0.4">
      <c r="A77" s="1">
        <f t="shared" si="13"/>
        <v>3.7499999999999947</v>
      </c>
      <c r="B77" s="1">
        <f t="shared" si="12"/>
        <v>0.05</v>
      </c>
      <c r="C77" s="1">
        <v>0.2</v>
      </c>
      <c r="D77" s="1">
        <f t="shared" si="14"/>
        <v>0</v>
      </c>
      <c r="E77" s="1">
        <f t="shared" si="15"/>
        <v>0</v>
      </c>
      <c r="F77" s="1">
        <f t="shared" si="16"/>
        <v>0.125</v>
      </c>
      <c r="G77" s="4">
        <f t="shared" si="17"/>
        <v>-1.0447865152887095</v>
      </c>
      <c r="H77" s="4">
        <f t="shared" si="18"/>
        <v>-2.8365953890088496</v>
      </c>
      <c r="I77" s="3">
        <f t="shared" si="19"/>
        <v>-162.524943976477</v>
      </c>
      <c r="J77" s="2">
        <f t="shared" si="20"/>
        <v>-0.94567982093937808</v>
      </c>
      <c r="K77" s="2">
        <f t="shared" si="21"/>
        <v>-0.32509948672378081</v>
      </c>
      <c r="L77" s="4">
        <f t="shared" si="22"/>
        <v>0.23342781030513432</v>
      </c>
      <c r="M77" s="4">
        <f t="shared" si="23"/>
        <v>-0.23288399982591029</v>
      </c>
    </row>
    <row r="78" spans="1:13" x14ac:dyDescent="0.4">
      <c r="A78" s="1">
        <f t="shared" si="13"/>
        <v>3.7999999999999945</v>
      </c>
      <c r="B78" s="1">
        <f t="shared" si="12"/>
        <v>0.05</v>
      </c>
      <c r="C78" s="1">
        <v>0.2</v>
      </c>
      <c r="D78" s="1">
        <f t="shared" si="14"/>
        <v>0</v>
      </c>
      <c r="E78" s="1">
        <f t="shared" si="15"/>
        <v>0</v>
      </c>
      <c r="F78" s="1">
        <f t="shared" si="16"/>
        <v>0.125</v>
      </c>
      <c r="G78" s="4">
        <f t="shared" si="17"/>
        <v>-1.0447865152887095</v>
      </c>
      <c r="H78" s="4">
        <f t="shared" si="18"/>
        <v>-2.8888347147732851</v>
      </c>
      <c r="I78" s="3">
        <f t="shared" si="19"/>
        <v>-165.51803686738822</v>
      </c>
      <c r="J78" s="2">
        <f t="shared" si="20"/>
        <v>-0.96136501399798036</v>
      </c>
      <c r="K78" s="2">
        <f t="shared" si="21"/>
        <v>-0.27527678772585057</v>
      </c>
      <c r="L78" s="4">
        <f t="shared" si="22"/>
        <v>0.22741927896764694</v>
      </c>
      <c r="M78" s="4">
        <f t="shared" si="23"/>
        <v>-0.23460447974919685</v>
      </c>
    </row>
    <row r="79" spans="1:13" x14ac:dyDescent="0.4">
      <c r="A79" s="1">
        <f t="shared" si="13"/>
        <v>3.8499999999999943</v>
      </c>
      <c r="B79" s="1">
        <f t="shared" si="12"/>
        <v>0.05</v>
      </c>
      <c r="C79" s="1">
        <v>0.2</v>
      </c>
      <c r="D79" s="1">
        <f t="shared" si="14"/>
        <v>0</v>
      </c>
      <c r="E79" s="1">
        <f t="shared" si="15"/>
        <v>0</v>
      </c>
      <c r="F79" s="1">
        <f t="shared" si="16"/>
        <v>0.125</v>
      </c>
      <c r="G79" s="4">
        <f t="shared" si="17"/>
        <v>-1.0447865152887095</v>
      </c>
      <c r="H79" s="4">
        <f t="shared" si="18"/>
        <v>-2.9410740405377207</v>
      </c>
      <c r="I79" s="3">
        <f t="shared" si="19"/>
        <v>-168.51112975829938</v>
      </c>
      <c r="J79" s="2">
        <f t="shared" si="20"/>
        <v>-0.97442728930050493</v>
      </c>
      <c r="K79" s="2">
        <f t="shared" si="21"/>
        <v>-0.2247030437410007</v>
      </c>
      <c r="L79" s="4">
        <f t="shared" si="22"/>
        <v>0.22132910840951878</v>
      </c>
      <c r="M79" s="4">
        <f t="shared" si="23"/>
        <v>-0.23600887377257809</v>
      </c>
    </row>
    <row r="80" spans="1:13" x14ac:dyDescent="0.4">
      <c r="A80" s="1">
        <f t="shared" si="13"/>
        <v>3.8999999999999941</v>
      </c>
      <c r="B80" s="1">
        <f t="shared" si="12"/>
        <v>0.05</v>
      </c>
      <c r="C80" s="1">
        <v>0.2</v>
      </c>
      <c r="D80" s="1">
        <f t="shared" si="14"/>
        <v>0</v>
      </c>
      <c r="E80" s="1">
        <f t="shared" si="15"/>
        <v>0</v>
      </c>
      <c r="F80" s="1">
        <f t="shared" si="16"/>
        <v>0.125</v>
      </c>
      <c r="G80" s="4">
        <f t="shared" si="17"/>
        <v>-1.0447865152887095</v>
      </c>
      <c r="H80" s="4">
        <f t="shared" si="18"/>
        <v>-2.9933133663021563</v>
      </c>
      <c r="I80" s="3">
        <f t="shared" si="19"/>
        <v>-171.50422264921056</v>
      </c>
      <c r="J80" s="2">
        <f t="shared" si="20"/>
        <v>-0.98483100869356843</v>
      </c>
      <c r="K80" s="2">
        <f t="shared" si="21"/>
        <v>-0.17351623646105427</v>
      </c>
      <c r="L80" s="4">
        <f t="shared" si="22"/>
        <v>0.21517391460518398</v>
      </c>
      <c r="M80" s="4">
        <f t="shared" si="23"/>
        <v>-0.23709335025045969</v>
      </c>
    </row>
    <row r="81" spans="1:13" x14ac:dyDescent="0.4">
      <c r="A81" s="1">
        <f t="shared" si="13"/>
        <v>3.949999999999994</v>
      </c>
      <c r="B81" s="1">
        <f t="shared" si="12"/>
        <v>0.05</v>
      </c>
      <c r="C81" s="1">
        <v>0.2</v>
      </c>
      <c r="D81" s="1">
        <f t="shared" si="14"/>
        <v>0</v>
      </c>
      <c r="E81" s="1">
        <f t="shared" si="15"/>
        <v>0</v>
      </c>
      <c r="F81" s="1">
        <f t="shared" si="16"/>
        <v>0.125</v>
      </c>
      <c r="G81" s="4">
        <f t="shared" si="17"/>
        <v>-1.0447865152887095</v>
      </c>
      <c r="H81" s="4">
        <f t="shared" si="18"/>
        <v>-3.0455526920665918</v>
      </c>
      <c r="I81" s="3">
        <f t="shared" si="19"/>
        <v>-174.49731554012175</v>
      </c>
      <c r="J81" s="2">
        <f t="shared" si="20"/>
        <v>-0.99254778743263827</v>
      </c>
      <c r="K81" s="2">
        <f t="shared" si="21"/>
        <v>-0.12185602021473645</v>
      </c>
      <c r="L81" s="4">
        <f t="shared" si="22"/>
        <v>0.20897049093372999</v>
      </c>
      <c r="M81" s="4">
        <f t="shared" si="23"/>
        <v>-0.23785495037680179</v>
      </c>
    </row>
    <row r="82" spans="1:13" x14ac:dyDescent="0.4">
      <c r="A82" s="1">
        <f t="shared" si="13"/>
        <v>3.9999999999999938</v>
      </c>
      <c r="B82" s="1">
        <f t="shared" si="12"/>
        <v>0.05</v>
      </c>
      <c r="C82" s="1">
        <v>0.2</v>
      </c>
      <c r="D82" s="1">
        <f t="shared" si="14"/>
        <v>0</v>
      </c>
      <c r="E82" s="1">
        <f t="shared" si="15"/>
        <v>0</v>
      </c>
      <c r="F82" s="1">
        <f t="shared" si="16"/>
        <v>0.125</v>
      </c>
      <c r="G82" s="4">
        <f t="shared" si="17"/>
        <v>-1.0447865152887095</v>
      </c>
      <c r="H82" s="4">
        <f t="shared" si="18"/>
        <v>-3.0977920178310274</v>
      </c>
      <c r="I82" s="3">
        <f t="shared" si="19"/>
        <v>-177.49040843103293</v>
      </c>
      <c r="J82" s="2">
        <f t="shared" si="20"/>
        <v>-0.99755657162488498</v>
      </c>
      <c r="K82" s="2">
        <f t="shared" si="21"/>
        <v>-6.9863340945059596E-2</v>
      </c>
      <c r="L82" s="4">
        <f t="shared" si="22"/>
        <v>0.20273576236107446</v>
      </c>
      <c r="M82" s="4">
        <f t="shared" si="23"/>
        <v>-0.2382915962577084</v>
      </c>
    </row>
    <row r="83" spans="1:13" x14ac:dyDescent="0.4">
      <c r="A83" s="1">
        <f t="shared" si="13"/>
        <v>4.0499999999999936</v>
      </c>
      <c r="B83" s="1">
        <f t="shared" si="12"/>
        <v>0.05</v>
      </c>
      <c r="C83" s="1">
        <v>0.2</v>
      </c>
      <c r="D83" s="1">
        <f t="shared" si="14"/>
        <v>0</v>
      </c>
      <c r="E83" s="1">
        <f t="shared" si="15"/>
        <v>0</v>
      </c>
      <c r="F83" s="1">
        <f t="shared" si="16"/>
        <v>0.125</v>
      </c>
      <c r="G83" s="4">
        <f t="shared" si="17"/>
        <v>-1.0447865152887095</v>
      </c>
      <c r="H83" s="4">
        <f t="shared" si="18"/>
        <v>-3.150031343595463</v>
      </c>
      <c r="I83" s="3">
        <f t="shared" si="19"/>
        <v>-180.48350132194412</v>
      </c>
      <c r="J83" s="2">
        <f t="shared" si="20"/>
        <v>-0.99984369567107967</v>
      </c>
      <c r="K83" s="2">
        <f t="shared" si="21"/>
        <v>-1.7680051662748195E-2</v>
      </c>
      <c r="L83" s="4">
        <f t="shared" si="22"/>
        <v>0.19648673926313021</v>
      </c>
      <c r="M83" s="4">
        <f t="shared" si="23"/>
        <v>-0.23840209658060058</v>
      </c>
    </row>
    <row r="84" spans="1:13" x14ac:dyDescent="0.4">
      <c r="A84" s="1">
        <f t="shared" si="13"/>
        <v>4.0999999999999934</v>
      </c>
      <c r="B84" s="1">
        <f t="shared" si="12"/>
        <v>0.05</v>
      </c>
      <c r="C84" s="1">
        <v>0.2</v>
      </c>
      <c r="D84" s="1">
        <f t="shared" si="14"/>
        <v>0</v>
      </c>
      <c r="E84" s="1">
        <f t="shared" si="15"/>
        <v>0</v>
      </c>
      <c r="F84" s="1">
        <f t="shared" si="16"/>
        <v>0.125</v>
      </c>
      <c r="G84" s="4">
        <f t="shared" si="17"/>
        <v>-1.0447865152887095</v>
      </c>
      <c r="H84" s="4">
        <f t="shared" si="18"/>
        <v>-3.2022706693598986</v>
      </c>
      <c r="I84" s="3">
        <f t="shared" si="19"/>
        <v>-183.47659421285528</v>
      </c>
      <c r="J84" s="2">
        <f t="shared" si="20"/>
        <v>-0.9994029195498112</v>
      </c>
      <c r="K84" s="2">
        <f t="shared" si="21"/>
        <v>3.4551474575098856E-2</v>
      </c>
      <c r="L84" s="4">
        <f t="shared" si="22"/>
        <v>0.19024047101594388</v>
      </c>
      <c r="M84" s="4">
        <f t="shared" si="23"/>
        <v>-0.2381861498645062</v>
      </c>
    </row>
    <row r="85" spans="1:13" x14ac:dyDescent="0.4">
      <c r="A85" s="1">
        <f t="shared" si="13"/>
        <v>4.1499999999999932</v>
      </c>
      <c r="B85" s="1">
        <f t="shared" si="12"/>
        <v>0.05</v>
      </c>
      <c r="C85" s="1">
        <v>0.2</v>
      </c>
      <c r="D85" s="1">
        <f t="shared" si="14"/>
        <v>0</v>
      </c>
      <c r="E85" s="1">
        <f t="shared" si="15"/>
        <v>0</v>
      </c>
      <c r="F85" s="1">
        <f t="shared" si="16"/>
        <v>0.125</v>
      </c>
      <c r="G85" s="4">
        <f t="shared" si="17"/>
        <v>-1.0447865152887095</v>
      </c>
      <c r="H85" s="4">
        <f t="shared" si="18"/>
        <v>-3.2545099951243341</v>
      </c>
      <c r="I85" s="3">
        <f t="shared" si="19"/>
        <v>-186.46968710376649</v>
      </c>
      <c r="J85" s="2">
        <f t="shared" si="20"/>
        <v>-0.99623544584230317</v>
      </c>
      <c r="K85" s="2">
        <f t="shared" si="21"/>
        <v>8.6688733105216492E-2</v>
      </c>
      <c r="L85" s="4">
        <f t="shared" si="22"/>
        <v>0.18401399947942948</v>
      </c>
      <c r="M85" s="4">
        <f t="shared" si="23"/>
        <v>-0.23764434528259859</v>
      </c>
    </row>
    <row r="86" spans="1:13" x14ac:dyDescent="0.4">
      <c r="A86" s="1">
        <f t="shared" si="13"/>
        <v>4.1999999999999931</v>
      </c>
      <c r="B86" s="1">
        <f t="shared" si="12"/>
        <v>0.05</v>
      </c>
      <c r="C86" s="1">
        <v>0.2</v>
      </c>
      <c r="D86" s="1">
        <f t="shared" si="14"/>
        <v>0</v>
      </c>
      <c r="E86" s="1">
        <f t="shared" si="15"/>
        <v>0</v>
      </c>
      <c r="F86" s="1">
        <f t="shared" si="16"/>
        <v>0.125</v>
      </c>
      <c r="G86" s="4">
        <f t="shared" si="17"/>
        <v>-1.0447865152887095</v>
      </c>
      <c r="H86" s="4">
        <f t="shared" si="18"/>
        <v>-3.3067493208887697</v>
      </c>
      <c r="I86" s="3">
        <f t="shared" si="19"/>
        <v>-189.46277999467765</v>
      </c>
      <c r="J86" s="2">
        <f t="shared" si="20"/>
        <v>-0.99034991645137971</v>
      </c>
      <c r="K86" s="2">
        <f t="shared" si="21"/>
        <v>0.13858947645743219</v>
      </c>
      <c r="L86" s="4">
        <f t="shared" si="22"/>
        <v>0.17782431250160835</v>
      </c>
      <c r="M86" s="4">
        <f t="shared" si="23"/>
        <v>-0.23677816105473964</v>
      </c>
    </row>
    <row r="87" spans="1:13" x14ac:dyDescent="0.4">
      <c r="A87" s="1">
        <f t="shared" si="13"/>
        <v>4.2499999999999929</v>
      </c>
      <c r="B87" s="1">
        <f t="shared" si="12"/>
        <v>0.05</v>
      </c>
      <c r="C87" s="1">
        <v>0.2</v>
      </c>
      <c r="D87" s="1">
        <f t="shared" si="14"/>
        <v>0</v>
      </c>
      <c r="E87" s="1">
        <f t="shared" si="15"/>
        <v>0</v>
      </c>
      <c r="F87" s="1">
        <f t="shared" si="16"/>
        <v>0.125</v>
      </c>
      <c r="G87" s="4">
        <f t="shared" si="17"/>
        <v>-1.0447865152887095</v>
      </c>
      <c r="H87" s="4">
        <f t="shared" si="18"/>
        <v>-3.3589886466532053</v>
      </c>
      <c r="I87" s="3">
        <f t="shared" si="19"/>
        <v>-192.45587288558883</v>
      </c>
      <c r="J87" s="2">
        <f t="shared" si="20"/>
        <v>-0.98176238902353152</v>
      </c>
      <c r="K87" s="2">
        <f t="shared" si="21"/>
        <v>0.19011210245223212</v>
      </c>
      <c r="L87" s="4">
        <f t="shared" si="22"/>
        <v>0.17168829757021128</v>
      </c>
      <c r="M87" s="4">
        <f t="shared" si="23"/>
        <v>-0.23558996041441319</v>
      </c>
    </row>
    <row r="88" spans="1:13" x14ac:dyDescent="0.4">
      <c r="A88" s="1">
        <f t="shared" si="13"/>
        <v>4.2999999999999927</v>
      </c>
      <c r="B88" s="1">
        <f t="shared" si="12"/>
        <v>0.05</v>
      </c>
      <c r="C88" s="1">
        <v>0.2</v>
      </c>
      <c r="D88" s="1">
        <f t="shared" si="14"/>
        <v>0</v>
      </c>
      <c r="E88" s="1">
        <f t="shared" si="15"/>
        <v>0</v>
      </c>
      <c r="F88" s="1">
        <f t="shared" si="16"/>
        <v>0.125</v>
      </c>
      <c r="G88" s="4">
        <f t="shared" si="17"/>
        <v>-1.0447865152887095</v>
      </c>
      <c r="H88" s="4">
        <f t="shared" si="18"/>
        <v>-3.4112279724176409</v>
      </c>
      <c r="I88" s="3">
        <f t="shared" si="19"/>
        <v>-195.44896577650002</v>
      </c>
      <c r="J88" s="2">
        <f t="shared" si="20"/>
        <v>-0.9704962931384119</v>
      </c>
      <c r="K88" s="2">
        <f t="shared" si="21"/>
        <v>0.24111604053774938</v>
      </c>
      <c r="L88" s="4">
        <f t="shared" si="22"/>
        <v>0.16562269573809621</v>
      </c>
      <c r="M88" s="4">
        <f t="shared" si="23"/>
        <v>-0.23408298516105225</v>
      </c>
    </row>
    <row r="89" spans="1:13" x14ac:dyDescent="0.4">
      <c r="A89" s="1">
        <f t="shared" si="13"/>
        <v>4.3499999999999925</v>
      </c>
      <c r="B89" s="1">
        <f t="shared" si="12"/>
        <v>0.05</v>
      </c>
      <c r="C89" s="1">
        <v>0.2</v>
      </c>
      <c r="D89" s="1">
        <f t="shared" si="14"/>
        <v>0</v>
      </c>
      <c r="E89" s="1">
        <f t="shared" si="15"/>
        <v>0</v>
      </c>
      <c r="F89" s="1">
        <f t="shared" si="16"/>
        <v>0.125</v>
      </c>
      <c r="G89" s="4">
        <f t="shared" si="17"/>
        <v>-1.0447865152887095</v>
      </c>
      <c r="H89" s="4">
        <f t="shared" si="18"/>
        <v>-3.4634672981820764</v>
      </c>
      <c r="I89" s="3">
        <f t="shared" si="19"/>
        <v>-198.4420586674112</v>
      </c>
      <c r="J89" s="2">
        <f t="shared" si="20"/>
        <v>-0.95658236638529059</v>
      </c>
      <c r="K89" s="2">
        <f t="shared" si="21"/>
        <v>0.29146213531214921</v>
      </c>
      <c r="L89" s="4">
        <f t="shared" si="22"/>
        <v>0.15964405594818815</v>
      </c>
      <c r="M89" s="4">
        <f t="shared" si="23"/>
        <v>-0.23226134681535132</v>
      </c>
    </row>
    <row r="90" spans="1:13" x14ac:dyDescent="0.4">
      <c r="A90" s="1">
        <f t="shared" si="13"/>
        <v>4.3999999999999924</v>
      </c>
      <c r="B90" s="1">
        <f t="shared" si="12"/>
        <v>0.05</v>
      </c>
      <c r="C90" s="1">
        <v>0.2</v>
      </c>
      <c r="D90" s="1">
        <f t="shared" si="14"/>
        <v>0</v>
      </c>
      <c r="E90" s="1">
        <f t="shared" si="15"/>
        <v>0</v>
      </c>
      <c r="F90" s="1">
        <f t="shared" si="16"/>
        <v>0.125</v>
      </c>
      <c r="G90" s="4">
        <f t="shared" si="17"/>
        <v>-1.0447865152887095</v>
      </c>
      <c r="H90" s="4">
        <f t="shared" si="18"/>
        <v>-3.515706623946512</v>
      </c>
      <c r="I90" s="3">
        <f t="shared" si="19"/>
        <v>-201.43515155832239</v>
      </c>
      <c r="J90" s="2">
        <f t="shared" si="20"/>
        <v>-0.94005857050087172</v>
      </c>
      <c r="K90" s="2">
        <f t="shared" si="21"/>
        <v>0.34101302618500889</v>
      </c>
      <c r="L90" s="4">
        <f t="shared" si="22"/>
        <v>0.15376868988255771</v>
      </c>
      <c r="M90" s="4">
        <f t="shared" si="23"/>
        <v>-0.230130015401695</v>
      </c>
    </row>
    <row r="91" spans="1:13" x14ac:dyDescent="0.4">
      <c r="A91" s="1">
        <f t="shared" si="13"/>
        <v>4.4499999999999922</v>
      </c>
      <c r="B91" s="1">
        <f t="shared" ref="B91:B111" si="24">B90</f>
        <v>0.05</v>
      </c>
      <c r="C91" s="1">
        <v>0.2</v>
      </c>
      <c r="D91" s="1">
        <f t="shared" si="14"/>
        <v>0</v>
      </c>
      <c r="E91" s="1">
        <f t="shared" si="15"/>
        <v>0</v>
      </c>
      <c r="F91" s="1">
        <f t="shared" si="16"/>
        <v>0.125</v>
      </c>
      <c r="G91" s="4">
        <f t="shared" si="17"/>
        <v>-1.0447865152887095</v>
      </c>
      <c r="H91" s="4">
        <f t="shared" si="18"/>
        <v>-3.5679459497109476</v>
      </c>
      <c r="I91" s="3">
        <f t="shared" si="19"/>
        <v>-204.42824444923355</v>
      </c>
      <c r="J91" s="2">
        <f t="shared" si="20"/>
        <v>-0.92096998779727546</v>
      </c>
      <c r="K91" s="2">
        <f t="shared" si="21"/>
        <v>0.38963352214187924</v>
      </c>
      <c r="L91" s="4">
        <f t="shared" si="22"/>
        <v>0.14801262745882474</v>
      </c>
      <c r="M91" s="4">
        <f t="shared" si="23"/>
        <v>-0.22769480588830826</v>
      </c>
    </row>
    <row r="92" spans="1:13" x14ac:dyDescent="0.4">
      <c r="A92" s="1">
        <f t="shared" si="13"/>
        <v>4.499999999999992</v>
      </c>
      <c r="B92" s="1">
        <f t="shared" si="24"/>
        <v>0.05</v>
      </c>
      <c r="C92" s="1">
        <v>0.2</v>
      </c>
      <c r="D92" s="1">
        <f t="shared" si="14"/>
        <v>0</v>
      </c>
      <c r="E92" s="1">
        <f t="shared" si="15"/>
        <v>0</v>
      </c>
      <c r="F92" s="1">
        <f t="shared" si="16"/>
        <v>0.125</v>
      </c>
      <c r="G92" s="4">
        <f t="shared" si="17"/>
        <v>-1.0447865152887095</v>
      </c>
      <c r="H92" s="4">
        <f t="shared" si="18"/>
        <v>-3.6201852754753832</v>
      </c>
      <c r="I92" s="3">
        <f t="shared" si="19"/>
        <v>-207.42133734014476</v>
      </c>
      <c r="J92" s="2">
        <f t="shared" si="20"/>
        <v>-0.89936869816276821</v>
      </c>
      <c r="K92" s="2">
        <f t="shared" si="21"/>
        <v>0.43719097058952111</v>
      </c>
      <c r="L92" s="4">
        <f t="shared" si="22"/>
        <v>0.14239157309530742</v>
      </c>
      <c r="M92" s="4">
        <f t="shared" si="23"/>
        <v>-0.22496236232212374</v>
      </c>
    </row>
    <row r="93" spans="1:13" x14ac:dyDescent="0.4">
      <c r="A93" s="1">
        <f t="shared" si="13"/>
        <v>4.5499999999999918</v>
      </c>
      <c r="B93" s="1">
        <f t="shared" si="24"/>
        <v>0.05</v>
      </c>
      <c r="C93" s="1">
        <v>0.2</v>
      </c>
      <c r="D93" s="1">
        <f t="shared" si="14"/>
        <v>0</v>
      </c>
      <c r="E93" s="1">
        <f t="shared" si="15"/>
        <v>0</v>
      </c>
      <c r="F93" s="1">
        <f t="shared" si="16"/>
        <v>0.125</v>
      </c>
      <c r="G93" s="4">
        <f t="shared" si="17"/>
        <v>-1.0447865152887095</v>
      </c>
      <c r="H93" s="4">
        <f t="shared" si="18"/>
        <v>-3.6724246012398187</v>
      </c>
      <c r="I93" s="3">
        <f t="shared" si="19"/>
        <v>-210.41443023105592</v>
      </c>
      <c r="J93" s="2">
        <f t="shared" si="20"/>
        <v>-0.87531363697081466</v>
      </c>
      <c r="K93" s="2">
        <f t="shared" si="21"/>
        <v>0.48355561927551299</v>
      </c>
      <c r="L93" s="4">
        <f t="shared" si="22"/>
        <v>0.13692086286423982</v>
      </c>
      <c r="M93" s="4">
        <f t="shared" si="23"/>
        <v>-0.22194013970165177</v>
      </c>
    </row>
    <row r="94" spans="1:13" x14ac:dyDescent="0.4">
      <c r="A94" s="1">
        <f t="shared" si="13"/>
        <v>4.5999999999999917</v>
      </c>
      <c r="B94" s="1">
        <f t="shared" si="24"/>
        <v>0.05</v>
      </c>
      <c r="C94" s="1">
        <v>0.2</v>
      </c>
      <c r="D94" s="1">
        <f t="shared" si="14"/>
        <v>0</v>
      </c>
      <c r="E94" s="1">
        <f t="shared" si="15"/>
        <v>0</v>
      </c>
      <c r="F94" s="1">
        <f t="shared" si="16"/>
        <v>0.125</v>
      </c>
      <c r="G94" s="4">
        <f t="shared" si="17"/>
        <v>-1.0447865152887095</v>
      </c>
      <c r="H94" s="4">
        <f t="shared" si="18"/>
        <v>-3.7246639270042543</v>
      </c>
      <c r="I94" s="3">
        <f t="shared" si="19"/>
        <v>-213.4075231219671</v>
      </c>
      <c r="J94" s="2">
        <f t="shared" si="20"/>
        <v>-0.84887043428513254</v>
      </c>
      <c r="K94" s="2">
        <f t="shared" si="21"/>
        <v>0.52860097029476827</v>
      </c>
      <c r="L94" s="4">
        <f t="shared" si="22"/>
        <v>0.13161542264995774</v>
      </c>
      <c r="M94" s="4">
        <f t="shared" si="23"/>
        <v>-0.21863638363730947</v>
      </c>
    </row>
    <row r="95" spans="1:13" x14ac:dyDescent="0.4">
      <c r="A95" s="1">
        <f t="shared" si="13"/>
        <v>4.6499999999999915</v>
      </c>
      <c r="B95" s="1">
        <f t="shared" si="24"/>
        <v>0.05</v>
      </c>
      <c r="C95" s="1">
        <v>0.2</v>
      </c>
      <c r="D95" s="1">
        <f t="shared" si="14"/>
        <v>0</v>
      </c>
      <c r="E95" s="1">
        <f t="shared" si="15"/>
        <v>0</v>
      </c>
      <c r="F95" s="1">
        <f t="shared" si="16"/>
        <v>0.125</v>
      </c>
      <c r="G95" s="4">
        <f t="shared" si="17"/>
        <v>-1.0447865152887095</v>
      </c>
      <c r="H95" s="4">
        <f t="shared" si="18"/>
        <v>-3.7769032527686899</v>
      </c>
      <c r="I95" s="3">
        <f t="shared" si="19"/>
        <v>-216.40061601287829</v>
      </c>
      <c r="J95" s="2">
        <f t="shared" si="20"/>
        <v>-0.82011123579943979</v>
      </c>
      <c r="K95" s="2">
        <f t="shared" si="21"/>
        <v>0.57220412521714281</v>
      </c>
      <c r="L95" s="4">
        <f t="shared" si="22"/>
        <v>0.12648972742621123</v>
      </c>
      <c r="M95" s="4">
        <f t="shared" si="23"/>
        <v>-0.21506010785470234</v>
      </c>
    </row>
    <row r="96" spans="1:13" x14ac:dyDescent="0.4">
      <c r="A96" s="1">
        <f t="shared" si="13"/>
        <v>4.6999999999999913</v>
      </c>
      <c r="B96" s="1">
        <f t="shared" si="24"/>
        <v>0.05</v>
      </c>
      <c r="C96" s="1">
        <v>0.2</v>
      </c>
      <c r="D96" s="1">
        <f t="shared" si="14"/>
        <v>0</v>
      </c>
      <c r="E96" s="1">
        <f t="shared" si="15"/>
        <v>0</v>
      </c>
      <c r="F96" s="1">
        <f t="shared" si="16"/>
        <v>0.125</v>
      </c>
      <c r="G96" s="4">
        <f t="shared" si="17"/>
        <v>-1.0447865152887095</v>
      </c>
      <c r="H96" s="4">
        <f t="shared" si="18"/>
        <v>-3.8291425785331255</v>
      </c>
      <c r="I96" s="3">
        <f t="shared" si="19"/>
        <v>-219.39370890378947</v>
      </c>
      <c r="J96" s="2">
        <f t="shared" si="20"/>
        <v>-0.78911450600044142</v>
      </c>
      <c r="K96" s="2">
        <f t="shared" si="21"/>
        <v>0.61424612039448756</v>
      </c>
      <c r="L96" s="4">
        <f t="shared" si="22"/>
        <v>0.12155776176370847</v>
      </c>
      <c r="M96" s="4">
        <f t="shared" si="23"/>
        <v>-0.2112210696022368</v>
      </c>
    </row>
    <row r="97" spans="1:13" x14ac:dyDescent="0.4">
      <c r="A97" s="1">
        <f t="shared" si="13"/>
        <v>4.7499999999999911</v>
      </c>
      <c r="B97" s="1">
        <f t="shared" si="24"/>
        <v>0.05</v>
      </c>
      <c r="C97" s="1">
        <v>0.2</v>
      </c>
      <c r="D97" s="1">
        <f t="shared" si="14"/>
        <v>0</v>
      </c>
      <c r="E97" s="1">
        <f t="shared" si="15"/>
        <v>0</v>
      </c>
      <c r="F97" s="1">
        <f t="shared" si="16"/>
        <v>0.125</v>
      </c>
      <c r="G97" s="4">
        <f t="shared" si="17"/>
        <v>-1.0447865152887095</v>
      </c>
      <c r="H97" s="4">
        <f t="shared" si="18"/>
        <v>-3.881381904297561</v>
      </c>
      <c r="I97" s="3">
        <f t="shared" si="19"/>
        <v>-222.38680179470066</v>
      </c>
      <c r="J97" s="2">
        <f t="shared" si="20"/>
        <v>-0.75596481409107852</v>
      </c>
      <c r="K97" s="2">
        <f t="shared" si="21"/>
        <v>0.65461225153234115</v>
      </c>
      <c r="L97" s="4">
        <f t="shared" si="22"/>
        <v>0.11683298167563923</v>
      </c>
      <c r="M97" s="4">
        <f t="shared" si="23"/>
        <v>-0.20712974303015966</v>
      </c>
    </row>
    <row r="98" spans="1:13" x14ac:dyDescent="0.4">
      <c r="A98" s="1">
        <f t="shared" si="13"/>
        <v>4.7999999999999909</v>
      </c>
      <c r="B98" s="1">
        <f t="shared" si="24"/>
        <v>0.05</v>
      </c>
      <c r="C98" s="1">
        <v>0.2</v>
      </c>
      <c r="D98" s="1">
        <f t="shared" si="14"/>
        <v>0</v>
      </c>
      <c r="E98" s="1">
        <f t="shared" si="15"/>
        <v>0</v>
      </c>
      <c r="F98" s="1">
        <f t="shared" si="16"/>
        <v>0.125</v>
      </c>
      <c r="G98" s="4">
        <f t="shared" si="17"/>
        <v>-1.0447865152887095</v>
      </c>
      <c r="H98" s="4">
        <f t="shared" si="18"/>
        <v>-3.9336212300619966</v>
      </c>
      <c r="I98" s="3">
        <f t="shared" si="19"/>
        <v>-225.37989468561182</v>
      </c>
      <c r="J98" s="2">
        <f t="shared" si="20"/>
        <v>-0.72075260325812462</v>
      </c>
      <c r="K98" s="2">
        <f t="shared" si="21"/>
        <v>0.69319238664070482</v>
      </c>
      <c r="L98" s="4">
        <f t="shared" si="22"/>
        <v>0.11232827790527594</v>
      </c>
      <c r="M98" s="4">
        <f t="shared" si="23"/>
        <v>-0.20279729061365526</v>
      </c>
    </row>
    <row r="99" spans="1:13" x14ac:dyDescent="0.4">
      <c r="A99" s="1">
        <f t="shared" si="13"/>
        <v>4.8499999999999908</v>
      </c>
      <c r="B99" s="1">
        <f t="shared" si="24"/>
        <v>0.05</v>
      </c>
      <c r="C99" s="1">
        <v>0.2</v>
      </c>
      <c r="D99" s="1">
        <f t="shared" si="14"/>
        <v>0</v>
      </c>
      <c r="E99" s="1">
        <f t="shared" si="15"/>
        <v>0</v>
      </c>
      <c r="F99" s="1">
        <f t="shared" si="16"/>
        <v>0.125</v>
      </c>
      <c r="G99" s="4">
        <f t="shared" si="17"/>
        <v>-1.0447865152887095</v>
      </c>
      <c r="H99" s="4">
        <f t="shared" si="18"/>
        <v>-3.9858605558264322</v>
      </c>
      <c r="I99" s="3">
        <f t="shared" si="19"/>
        <v>-228.372987576523</v>
      </c>
      <c r="J99" s="2">
        <f t="shared" si="20"/>
        <v>-0.68357394391362791</v>
      </c>
      <c r="K99" s="2">
        <f t="shared" si="21"/>
        <v>0.72988126651008678</v>
      </c>
      <c r="L99" s="4">
        <f t="shared" si="22"/>
        <v>0.10805594075581576</v>
      </c>
      <c r="M99" s="4">
        <f t="shared" si="23"/>
        <v>-0.1982355326979672</v>
      </c>
    </row>
    <row r="100" spans="1:13" x14ac:dyDescent="0.4">
      <c r="A100" s="1">
        <f t="shared" si="13"/>
        <v>4.8999999999999906</v>
      </c>
      <c r="B100" s="1">
        <f t="shared" si="24"/>
        <v>0.05</v>
      </c>
      <c r="C100" s="1">
        <v>0.2</v>
      </c>
      <c r="D100" s="1">
        <f t="shared" si="14"/>
        <v>0</v>
      </c>
      <c r="E100" s="1">
        <f t="shared" si="15"/>
        <v>0</v>
      </c>
      <c r="F100" s="1">
        <f t="shared" si="16"/>
        <v>0.125</v>
      </c>
      <c r="G100" s="4">
        <f t="shared" si="17"/>
        <v>-1.0447865152887095</v>
      </c>
      <c r="H100" s="4">
        <f t="shared" si="18"/>
        <v>-4.0380998815908677</v>
      </c>
      <c r="I100" s="3">
        <f t="shared" si="19"/>
        <v>-231.36608046743419</v>
      </c>
      <c r="J100" s="2">
        <f t="shared" si="20"/>
        <v>-0.64453027158345322</v>
      </c>
      <c r="K100" s="2">
        <f t="shared" si="21"/>
        <v>0.76457879189300049</v>
      </c>
      <c r="L100" s="4">
        <f t="shared" si="22"/>
        <v>0.10402762655841918</v>
      </c>
      <c r="M100" s="4">
        <f t="shared" si="23"/>
        <v>-0.19345691524863595</v>
      </c>
    </row>
    <row r="101" spans="1:13" x14ac:dyDescent="0.4">
      <c r="A101" s="1">
        <f t="shared" si="13"/>
        <v>4.9499999999999904</v>
      </c>
      <c r="B101" s="1">
        <f t="shared" si="24"/>
        <v>0.05</v>
      </c>
      <c r="C101" s="1">
        <v>0.2</v>
      </c>
      <c r="D101" s="1">
        <f t="shared" si="14"/>
        <v>0</v>
      </c>
      <c r="E101" s="1">
        <f t="shared" si="15"/>
        <v>0</v>
      </c>
      <c r="F101" s="1">
        <f t="shared" si="16"/>
        <v>0.125</v>
      </c>
      <c r="G101" s="4">
        <f t="shared" si="17"/>
        <v>-1.0447865152887095</v>
      </c>
      <c r="H101" s="4">
        <f t="shared" si="18"/>
        <v>-4.0903392073553029</v>
      </c>
      <c r="I101" s="3">
        <f t="shared" si="19"/>
        <v>-234.35917335834537</v>
      </c>
      <c r="J101" s="2">
        <f t="shared" si="20"/>
        <v>-0.60372811015803307</v>
      </c>
      <c r="K101" s="2">
        <f t="shared" si="21"/>
        <v>0.7971902966074097</v>
      </c>
      <c r="L101" s="4">
        <f t="shared" si="22"/>
        <v>0.10025432586993148</v>
      </c>
      <c r="M101" s="4">
        <f t="shared" si="23"/>
        <v>-0.18847447589483965</v>
      </c>
    </row>
    <row r="102" spans="1:13" x14ac:dyDescent="0.4">
      <c r="A102" s="1">
        <f t="shared" si="13"/>
        <v>4.9999999999999902</v>
      </c>
      <c r="B102" s="1">
        <f t="shared" si="24"/>
        <v>0.05</v>
      </c>
      <c r="C102" s="1">
        <v>0.2</v>
      </c>
      <c r="D102" s="1">
        <f t="shared" si="14"/>
        <v>0</v>
      </c>
      <c r="E102" s="1">
        <f t="shared" si="15"/>
        <v>0</v>
      </c>
      <c r="F102" s="1">
        <f t="shared" si="16"/>
        <v>0.125</v>
      </c>
      <c r="G102" s="4">
        <f t="shared" si="17"/>
        <v>-1.0447865152887095</v>
      </c>
      <c r="H102" s="4">
        <f t="shared" si="18"/>
        <v>-4.142578533119738</v>
      </c>
      <c r="I102" s="3">
        <f t="shared" si="19"/>
        <v>-237.3522662492565</v>
      </c>
      <c r="J102" s="2">
        <f t="shared" si="20"/>
        <v>-0.56127878126040354</v>
      </c>
      <c r="K102" s="2">
        <f t="shared" si="21"/>
        <v>0.82762680581699144</v>
      </c>
      <c r="L102" s="4">
        <f t="shared" si="22"/>
        <v>9.6746333487053957E-2</v>
      </c>
      <c r="M102" s="4">
        <f t="shared" si="23"/>
        <v>-0.18330180835848345</v>
      </c>
    </row>
    <row r="103" spans="1:13" x14ac:dyDescent="0.4">
      <c r="A103" s="1">
        <f t="shared" si="13"/>
        <v>5.0499999999999901</v>
      </c>
      <c r="B103" s="1">
        <f t="shared" si="24"/>
        <v>0.05</v>
      </c>
      <c r="C103" s="1">
        <v>0.2</v>
      </c>
      <c r="D103" s="1">
        <f t="shared" si="14"/>
        <v>0</v>
      </c>
      <c r="E103" s="1">
        <f t="shared" si="15"/>
        <v>0</v>
      </c>
      <c r="F103" s="1">
        <f t="shared" si="16"/>
        <v>0.125</v>
      </c>
      <c r="G103" s="4">
        <f t="shared" si="17"/>
        <v>-1.0447865152887095</v>
      </c>
      <c r="H103" s="4">
        <f t="shared" si="18"/>
        <v>-4.1948178588841731</v>
      </c>
      <c r="I103" s="3">
        <f t="shared" si="19"/>
        <v>-240.34535914016766</v>
      </c>
      <c r="J103" s="2">
        <f t="shared" si="20"/>
        <v>-0.51729810052446024</v>
      </c>
      <c r="K103" s="2">
        <f t="shared" si="21"/>
        <v>0.85580527878354751</v>
      </c>
      <c r="L103" s="4">
        <f t="shared" si="22"/>
        <v>9.3513220358776086E-2</v>
      </c>
      <c r="M103" s="4">
        <f t="shared" si="23"/>
        <v>-0.17795302536608629</v>
      </c>
    </row>
    <row r="104" spans="1:13" x14ac:dyDescent="0.4">
      <c r="A104" s="1">
        <f t="shared" si="13"/>
        <v>5.0999999999999899</v>
      </c>
      <c r="B104" s="1">
        <f t="shared" si="24"/>
        <v>0.05</v>
      </c>
      <c r="C104" s="1">
        <v>0.2</v>
      </c>
      <c r="D104" s="1">
        <f t="shared" si="14"/>
        <v>0</v>
      </c>
      <c r="E104" s="1">
        <f t="shared" si="15"/>
        <v>0</v>
      </c>
      <c r="F104" s="1">
        <f t="shared" si="16"/>
        <v>0.125</v>
      </c>
      <c r="G104" s="4">
        <f t="shared" si="17"/>
        <v>-1.0447865152887095</v>
      </c>
      <c r="H104" s="4">
        <f t="shared" si="18"/>
        <v>-4.2470571846486083</v>
      </c>
      <c r="I104" s="3">
        <f t="shared" si="19"/>
        <v>-243.33845203107882</v>
      </c>
      <c r="J104" s="2">
        <f t="shared" si="20"/>
        <v>-0.47190606161207388</v>
      </c>
      <c r="K104" s="2">
        <f t="shared" si="21"/>
        <v>0.88164883542926631</v>
      </c>
      <c r="L104" s="4">
        <f t="shared" si="22"/>
        <v>9.056380747370063E-2</v>
      </c>
      <c r="M104" s="4">
        <f t="shared" si="23"/>
        <v>-0.17244272014465337</v>
      </c>
    </row>
    <row r="105" spans="1:13" x14ac:dyDescent="0.4">
      <c r="A105" s="1">
        <f t="shared" si="13"/>
        <v>5.1499999999999897</v>
      </c>
      <c r="B105" s="1">
        <f t="shared" si="24"/>
        <v>0.05</v>
      </c>
      <c r="C105" s="1">
        <v>0.2</v>
      </c>
      <c r="D105" s="1">
        <f t="shared" si="14"/>
        <v>0</v>
      </c>
      <c r="E105" s="1">
        <f t="shared" si="15"/>
        <v>0</v>
      </c>
      <c r="F105" s="1">
        <f t="shared" si="16"/>
        <v>0.125</v>
      </c>
      <c r="G105" s="4">
        <f t="shared" si="17"/>
        <v>-1.0447865152887095</v>
      </c>
      <c r="H105" s="4">
        <f t="shared" si="18"/>
        <v>-4.2992965104130434</v>
      </c>
      <c r="I105" s="3">
        <f t="shared" si="19"/>
        <v>-246.33154492199</v>
      </c>
      <c r="J105" s="2">
        <f t="shared" si="20"/>
        <v>-0.4252265088311995</v>
      </c>
      <c r="K105" s="2">
        <f t="shared" si="21"/>
        <v>0.90508696609067896</v>
      </c>
      <c r="L105" s="4">
        <f t="shared" si="22"/>
        <v>8.7906141793505629E-2</v>
      </c>
      <c r="M105" s="4">
        <f t="shared" si="23"/>
        <v>-0.16678592660658662</v>
      </c>
    </row>
    <row r="106" spans="1:13" x14ac:dyDescent="0.4">
      <c r="A106" s="1">
        <f t="shared" si="13"/>
        <v>5.1999999999999895</v>
      </c>
      <c r="B106" s="1">
        <f t="shared" si="24"/>
        <v>0.05</v>
      </c>
      <c r="C106" s="1">
        <v>0.2</v>
      </c>
      <c r="D106" s="1">
        <f t="shared" si="14"/>
        <v>0</v>
      </c>
      <c r="E106" s="1">
        <f t="shared" si="15"/>
        <v>0</v>
      </c>
      <c r="F106" s="1">
        <f t="shared" si="16"/>
        <v>0.125</v>
      </c>
      <c r="G106" s="4">
        <f t="shared" si="17"/>
        <v>-1.0447865152887095</v>
      </c>
      <c r="H106" s="4">
        <f t="shared" si="18"/>
        <v>-4.3515358361774785</v>
      </c>
      <c r="I106" s="3">
        <f t="shared" si="19"/>
        <v>-249.32463781290113</v>
      </c>
      <c r="J106" s="2">
        <f t="shared" si="20"/>
        <v>-0.37738679924814267</v>
      </c>
      <c r="K106" s="2">
        <f t="shared" si="21"/>
        <v>0.92605572389205715</v>
      </c>
      <c r="L106" s="4">
        <f t="shared" si="22"/>
        <v>8.5547474298204737E-2</v>
      </c>
      <c r="M106" s="4">
        <f t="shared" si="23"/>
        <v>-0.16099807833226126</v>
      </c>
    </row>
    <row r="107" spans="1:13" x14ac:dyDescent="0.4">
      <c r="A107" s="1">
        <f t="shared" si="13"/>
        <v>5.2499999999999893</v>
      </c>
      <c r="B107" s="1">
        <f t="shared" si="24"/>
        <v>0.05</v>
      </c>
      <c r="C107" s="1">
        <v>0.2</v>
      </c>
      <c r="D107" s="1">
        <f t="shared" si="14"/>
        <v>0</v>
      </c>
      <c r="E107" s="1">
        <f t="shared" si="15"/>
        <v>0</v>
      </c>
      <c r="F107" s="1">
        <f t="shared" si="16"/>
        <v>0.125</v>
      </c>
      <c r="G107" s="4">
        <f t="shared" si="17"/>
        <v>-1.0447865152887095</v>
      </c>
      <c r="H107" s="4">
        <f t="shared" si="18"/>
        <v>-4.4037751619419137</v>
      </c>
      <c r="I107" s="3">
        <f t="shared" si="19"/>
        <v>-252.31773070381229</v>
      </c>
      <c r="J107" s="2">
        <f t="shared" si="20"/>
        <v>-0.32851745521589854</v>
      </c>
      <c r="K107" s="2">
        <f t="shared" si="21"/>
        <v>0.94449789921337046</v>
      </c>
      <c r="L107" s="4">
        <f t="shared" si="22"/>
        <v>8.3494240203105377E-2</v>
      </c>
      <c r="M107" s="4">
        <f t="shared" si="23"/>
        <v>-0.15509496646217769</v>
      </c>
    </row>
    <row r="108" spans="1:13" x14ac:dyDescent="0.4">
      <c r="A108" s="1">
        <f t="shared" si="13"/>
        <v>5.2999999999999892</v>
      </c>
      <c r="B108" s="1">
        <f t="shared" si="24"/>
        <v>0.05</v>
      </c>
      <c r="C108" s="1">
        <v>0.2</v>
      </c>
      <c r="D108" s="1">
        <f t="shared" si="14"/>
        <v>0</v>
      </c>
      <c r="E108" s="1">
        <f t="shared" si="15"/>
        <v>0</v>
      </c>
      <c r="F108" s="1">
        <f t="shared" si="16"/>
        <v>0.125</v>
      </c>
      <c r="G108" s="4">
        <f t="shared" si="17"/>
        <v>-1.0447865152887095</v>
      </c>
      <c r="H108" s="4">
        <f t="shared" si="18"/>
        <v>-4.4560144877063488</v>
      </c>
      <c r="I108" s="3">
        <f t="shared" si="19"/>
        <v>-255.31082359472344</v>
      </c>
      <c r="J108" s="2">
        <f t="shared" si="20"/>
        <v>-0.27875180826652873</v>
      </c>
      <c r="K108" s="2">
        <f t="shared" si="21"/>
        <v>0.96036317577682062</v>
      </c>
      <c r="L108" s="4">
        <f t="shared" si="22"/>
        <v>8.1752041401439574E-2</v>
      </c>
      <c r="M108" s="4">
        <f t="shared" si="23"/>
        <v>-0.14909269661357255</v>
      </c>
    </row>
    <row r="109" spans="1:13" x14ac:dyDescent="0.4">
      <c r="A109" s="1">
        <f t="shared" si="13"/>
        <v>5.349999999999989</v>
      </c>
      <c r="B109" s="1">
        <f t="shared" si="24"/>
        <v>0.05</v>
      </c>
      <c r="C109" s="1">
        <v>0.2</v>
      </c>
      <c r="D109" s="1">
        <f t="shared" si="14"/>
        <v>0</v>
      </c>
      <c r="E109" s="1">
        <f t="shared" si="15"/>
        <v>0</v>
      </c>
      <c r="F109" s="1">
        <f t="shared" si="16"/>
        <v>0.125</v>
      </c>
      <c r="G109" s="4">
        <f t="shared" si="17"/>
        <v>-1.0447865152887095</v>
      </c>
      <c r="H109" s="4">
        <f t="shared" si="18"/>
        <v>-4.5082538134707839</v>
      </c>
      <c r="I109" s="3">
        <f t="shared" si="19"/>
        <v>-258.3039164856346</v>
      </c>
      <c r="J109" s="2">
        <f t="shared" si="20"/>
        <v>-0.22822563533920714</v>
      </c>
      <c r="K109" s="2">
        <f t="shared" si="21"/>
        <v>0.9736082679260768</v>
      </c>
      <c r="L109" s="4">
        <f t="shared" si="22"/>
        <v>8.0325631180569526E-2</v>
      </c>
      <c r="M109" s="4">
        <f t="shared" si="23"/>
        <v>-0.14300764493903456</v>
      </c>
    </row>
    <row r="110" spans="1:13" x14ac:dyDescent="0.4">
      <c r="A110" s="1">
        <f t="shared" si="13"/>
        <v>5.3999999999999888</v>
      </c>
      <c r="B110" s="1">
        <f t="shared" si="24"/>
        <v>0.05</v>
      </c>
      <c r="C110" s="1">
        <v>0.2</v>
      </c>
      <c r="D110" s="1">
        <f t="shared" si="14"/>
        <v>0</v>
      </c>
      <c r="E110" s="1">
        <f t="shared" si="15"/>
        <v>0</v>
      </c>
      <c r="F110" s="1">
        <f t="shared" si="16"/>
        <v>0.125</v>
      </c>
      <c r="G110" s="4">
        <f t="shared" si="17"/>
        <v>-1.0447865152887095</v>
      </c>
      <c r="H110" s="4">
        <f t="shared" si="18"/>
        <v>-4.560493139235219</v>
      </c>
      <c r="I110" s="3">
        <f t="shared" si="19"/>
        <v>-261.29700937654576</v>
      </c>
      <c r="J110" s="2">
        <f t="shared" si="20"/>
        <v>-0.17707678833636911</v>
      </c>
      <c r="K110" s="2">
        <f t="shared" si="21"/>
        <v>0.98419703872368802</v>
      </c>
      <c r="L110" s="4">
        <f t="shared" si="22"/>
        <v>7.9218901253467214E-2</v>
      </c>
      <c r="M110" s="4">
        <f t="shared" si="23"/>
        <v>-0.13685641344701152</v>
      </c>
    </row>
    <row r="111" spans="1:13" x14ac:dyDescent="0.4">
      <c r="A111" s="1">
        <f t="shared" si="13"/>
        <v>5.4499999999999886</v>
      </c>
      <c r="B111" s="1">
        <f t="shared" si="24"/>
        <v>0.05</v>
      </c>
      <c r="C111" s="1">
        <v>0.2</v>
      </c>
      <c r="D111" s="1">
        <f t="shared" si="14"/>
        <v>0</v>
      </c>
      <c r="E111" s="1">
        <f t="shared" si="15"/>
        <v>0</v>
      </c>
      <c r="F111" s="1">
        <f t="shared" si="16"/>
        <v>0.125</v>
      </c>
      <c r="G111" s="4">
        <f t="shared" si="17"/>
        <v>-1.0447865152887095</v>
      </c>
      <c r="H111" s="4">
        <f t="shared" si="18"/>
        <v>-4.6127324649996542</v>
      </c>
      <c r="I111" s="3">
        <f t="shared" si="19"/>
        <v>-264.29010226745692</v>
      </c>
      <c r="J111" s="2">
        <f t="shared" si="20"/>
        <v>-0.12544481801871071</v>
      </c>
      <c r="K111" s="2">
        <f t="shared" si="21"/>
        <v>0.99210059854444832</v>
      </c>
      <c r="L111" s="4">
        <f t="shared" si="22"/>
        <v>7.8434871140850265E-2</v>
      </c>
      <c r="M111" s="4">
        <f t="shared" si="23"/>
        <v>-0.13065578470610872</v>
      </c>
    </row>
    <row r="112" spans="1:13" x14ac:dyDescent="0.4">
      <c r="A112" s="1">
        <f t="shared" si="13"/>
        <v>5.4999999999999885</v>
      </c>
      <c r="B112" s="1">
        <f>B113-D113*$P$3</f>
        <v>4.9999999999999989E-2</v>
      </c>
      <c r="C112" s="1">
        <v>0.2</v>
      </c>
      <c r="D112" s="1">
        <f t="shared" si="14"/>
        <v>-2.7755575615628914E-16</v>
      </c>
      <c r="E112" s="1">
        <f t="shared" si="15"/>
        <v>0</v>
      </c>
      <c r="F112" s="1">
        <f t="shared" si="16"/>
        <v>0.125</v>
      </c>
      <c r="G112" s="4">
        <f t="shared" si="17"/>
        <v>-1.0447865152887095</v>
      </c>
      <c r="H112" s="4">
        <f t="shared" si="18"/>
        <v>-4.6649717907640893</v>
      </c>
      <c r="I112" s="3">
        <f t="shared" si="19"/>
        <v>-267.28319515836807</v>
      </c>
      <c r="J112" s="2">
        <f t="shared" si="20"/>
        <v>-7.3470593265120024E-2</v>
      </c>
      <c r="K112" s="2">
        <f t="shared" si="21"/>
        <v>0.99729738389573208</v>
      </c>
      <c r="L112" s="4">
        <f t="shared" si="22"/>
        <v>7.797567993294327E-2</v>
      </c>
      <c r="M112" s="4">
        <f t="shared" si="23"/>
        <v>-0.1244226760567604</v>
      </c>
    </row>
    <row r="113" spans="1:14" x14ac:dyDescent="0.4">
      <c r="A113" s="1">
        <f t="shared" si="13"/>
        <v>5.5499999999999883</v>
      </c>
      <c r="B113" s="1">
        <f>B114-D114*$P$3</f>
        <v>0.125</v>
      </c>
      <c r="C113" s="1">
        <v>0.2</v>
      </c>
      <c r="D113" s="1">
        <v>1.5</v>
      </c>
      <c r="E113" s="1">
        <f t="shared" si="15"/>
        <v>0</v>
      </c>
      <c r="F113" s="1">
        <f t="shared" si="16"/>
        <v>0.16250000000000001</v>
      </c>
      <c r="G113" s="4">
        <f t="shared" si="17"/>
        <v>-0.52239325764435474</v>
      </c>
      <c r="H113" s="4">
        <f t="shared" si="18"/>
        <v>-4.6910914536463073</v>
      </c>
      <c r="I113" s="3">
        <f t="shared" si="19"/>
        <v>-268.77974160382365</v>
      </c>
      <c r="J113" s="2">
        <f t="shared" si="20"/>
        <v>-3.4350599180146275E-2</v>
      </c>
      <c r="K113" s="2">
        <f t="shared" si="21"/>
        <v>0.99940984402594557</v>
      </c>
      <c r="L113" s="4">
        <f t="shared" si="22"/>
        <v>7.7696581314604579E-2</v>
      </c>
      <c r="M113" s="4">
        <f t="shared" si="23"/>
        <v>-0.11630247107404959</v>
      </c>
      <c r="N113" t="s">
        <v>40</v>
      </c>
    </row>
    <row r="114" spans="1:14" x14ac:dyDescent="0.4">
      <c r="A114" s="1">
        <f>A113+$P$3</f>
        <v>5.5999999999999881</v>
      </c>
      <c r="B114" s="1">
        <v>0.2</v>
      </c>
      <c r="C114" s="1">
        <v>0.2</v>
      </c>
      <c r="D114" s="1">
        <v>1.5</v>
      </c>
      <c r="E114" s="1">
        <f>(C114-C113)/$P$3</f>
        <v>0</v>
      </c>
      <c r="F114" s="1">
        <f t="shared" si="16"/>
        <v>0.2</v>
      </c>
      <c r="G114" s="4">
        <f t="shared" si="17"/>
        <v>0</v>
      </c>
      <c r="H114" s="4">
        <f>H113+G114*P$3</f>
        <v>-4.6910914536463073</v>
      </c>
      <c r="I114" s="3">
        <f t="shared" si="19"/>
        <v>-268.77974160382365</v>
      </c>
      <c r="J114" s="2">
        <f>COS((H114+H113)/2)</f>
        <v>-2.1295916736378481E-2</v>
      </c>
      <c r="K114" s="2">
        <f>SIN((H114+H113)/2)</f>
        <v>0.99977321624974391</v>
      </c>
      <c r="L114" s="4">
        <f>L113+F114*P$3*J114</f>
        <v>7.7483622147240791E-2</v>
      </c>
      <c r="M114" s="4">
        <f>M113+F114*P$3*K114</f>
        <v>-0.10630473891155215</v>
      </c>
      <c r="N114" t="s">
        <v>41</v>
      </c>
    </row>
    <row r="115" spans="1:14" x14ac:dyDescent="0.4">
      <c r="A115" s="1">
        <f t="shared" si="13"/>
        <v>5.6499999999999879</v>
      </c>
      <c r="B115" s="1">
        <f>B114</f>
        <v>0.2</v>
      </c>
      <c r="C115" s="1">
        <v>0.2</v>
      </c>
      <c r="D115" s="1">
        <f>(B115-B114)/$P$3</f>
        <v>0</v>
      </c>
      <c r="E115" s="1">
        <f t="shared" si="15"/>
        <v>0</v>
      </c>
      <c r="F115" s="1">
        <f t="shared" si="16"/>
        <v>0.2</v>
      </c>
      <c r="G115" s="4">
        <f t="shared" si="17"/>
        <v>0</v>
      </c>
      <c r="H115" s="4">
        <f t="shared" si="18"/>
        <v>-4.6910914536463073</v>
      </c>
      <c r="I115" s="3">
        <f t="shared" si="19"/>
        <v>-268.77974160382365</v>
      </c>
      <c r="J115" s="2">
        <f t="shared" si="20"/>
        <v>-2.1295916736378481E-2</v>
      </c>
      <c r="K115" s="2">
        <f t="shared" si="21"/>
        <v>0.99977321624974391</v>
      </c>
      <c r="L115" s="4">
        <f t="shared" si="22"/>
        <v>7.7270662979877003E-2</v>
      </c>
      <c r="M115" s="4">
        <f t="shared" si="23"/>
        <v>-9.6307006749054708E-2</v>
      </c>
    </row>
    <row r="116" spans="1:14" x14ac:dyDescent="0.4">
      <c r="A116" s="1">
        <f t="shared" si="13"/>
        <v>5.6999999999999877</v>
      </c>
      <c r="B116" s="1">
        <f>B115</f>
        <v>0.2</v>
      </c>
      <c r="C116" s="1">
        <v>0.2</v>
      </c>
      <c r="D116" s="1">
        <f t="shared" si="14"/>
        <v>0</v>
      </c>
      <c r="E116" s="1">
        <f t="shared" si="15"/>
        <v>0</v>
      </c>
      <c r="F116" s="1">
        <f t="shared" si="16"/>
        <v>0.2</v>
      </c>
      <c r="G116" s="4">
        <f t="shared" si="17"/>
        <v>0</v>
      </c>
      <c r="H116" s="4">
        <f t="shared" si="18"/>
        <v>-4.6910914536463073</v>
      </c>
      <c r="I116" s="3">
        <f t="shared" si="19"/>
        <v>-268.77974160382365</v>
      </c>
      <c r="J116" s="2">
        <f t="shared" si="20"/>
        <v>-2.1295916736378481E-2</v>
      </c>
      <c r="K116" s="2">
        <f t="shared" si="21"/>
        <v>0.99977321624974391</v>
      </c>
      <c r="L116" s="4">
        <f t="shared" si="22"/>
        <v>7.7057703812513215E-2</v>
      </c>
      <c r="M116" s="4">
        <f t="shared" si="23"/>
        <v>-8.6309274586557266E-2</v>
      </c>
    </row>
    <row r="117" spans="1:14" x14ac:dyDescent="0.4">
      <c r="A117" s="1">
        <f t="shared" si="13"/>
        <v>5.7499999999999876</v>
      </c>
      <c r="B117" s="1">
        <f t="shared" ref="B117:B180" si="25">B116</f>
        <v>0.2</v>
      </c>
      <c r="C117" s="1">
        <v>0.2</v>
      </c>
      <c r="D117" s="1">
        <f t="shared" si="14"/>
        <v>0</v>
      </c>
      <c r="E117" s="1">
        <f t="shared" si="15"/>
        <v>0</v>
      </c>
      <c r="F117" s="1">
        <f t="shared" si="16"/>
        <v>0.2</v>
      </c>
      <c r="G117" s="4">
        <f t="shared" si="17"/>
        <v>0</v>
      </c>
      <c r="H117" s="4">
        <f t="shared" si="18"/>
        <v>-4.6910914536463073</v>
      </c>
      <c r="I117" s="3">
        <f t="shared" si="19"/>
        <v>-268.77974160382365</v>
      </c>
      <c r="J117" s="2">
        <f t="shared" si="20"/>
        <v>-2.1295916736378481E-2</v>
      </c>
      <c r="K117" s="2">
        <f t="shared" si="21"/>
        <v>0.99977321624974391</v>
      </c>
      <c r="L117" s="4">
        <f t="shared" si="22"/>
        <v>7.6844744645149426E-2</v>
      </c>
      <c r="M117" s="4">
        <f t="shared" si="23"/>
        <v>-7.6311542424059825E-2</v>
      </c>
    </row>
    <row r="118" spans="1:14" x14ac:dyDescent="0.4">
      <c r="A118" s="1">
        <f t="shared" si="13"/>
        <v>5.7999999999999874</v>
      </c>
      <c r="B118" s="1">
        <f t="shared" si="25"/>
        <v>0.2</v>
      </c>
      <c r="C118" s="1">
        <v>0.2</v>
      </c>
      <c r="D118" s="1">
        <f t="shared" si="14"/>
        <v>0</v>
      </c>
      <c r="E118" s="1">
        <f t="shared" si="15"/>
        <v>0</v>
      </c>
      <c r="F118" s="1">
        <f t="shared" si="16"/>
        <v>0.2</v>
      </c>
      <c r="G118" s="4">
        <f t="shared" si="17"/>
        <v>0</v>
      </c>
      <c r="H118" s="4">
        <f t="shared" si="18"/>
        <v>-4.6910914536463073</v>
      </c>
      <c r="I118" s="3">
        <f t="shared" si="19"/>
        <v>-268.77974160382365</v>
      </c>
      <c r="J118" s="2">
        <f t="shared" si="20"/>
        <v>-2.1295916736378481E-2</v>
      </c>
      <c r="K118" s="2">
        <f t="shared" si="21"/>
        <v>0.99977321624974391</v>
      </c>
      <c r="L118" s="4">
        <f t="shared" si="22"/>
        <v>7.6631785477785638E-2</v>
      </c>
      <c r="M118" s="4">
        <f t="shared" si="23"/>
        <v>-6.6313810261562384E-2</v>
      </c>
    </row>
    <row r="119" spans="1:14" x14ac:dyDescent="0.4">
      <c r="A119" s="1">
        <f t="shared" si="13"/>
        <v>5.8499999999999872</v>
      </c>
      <c r="B119" s="1">
        <f t="shared" si="25"/>
        <v>0.2</v>
      </c>
      <c r="C119" s="1">
        <v>0.2</v>
      </c>
      <c r="D119" s="1">
        <f t="shared" si="14"/>
        <v>0</v>
      </c>
      <c r="E119" s="1">
        <f t="shared" si="15"/>
        <v>0</v>
      </c>
      <c r="F119" s="1">
        <f t="shared" si="16"/>
        <v>0.2</v>
      </c>
      <c r="G119" s="4">
        <f t="shared" si="17"/>
        <v>0</v>
      </c>
      <c r="H119" s="4">
        <f t="shared" si="18"/>
        <v>-4.6910914536463073</v>
      </c>
      <c r="I119" s="3">
        <f t="shared" si="19"/>
        <v>-268.77974160382365</v>
      </c>
      <c r="J119" s="2">
        <f t="shared" si="20"/>
        <v>-2.1295916736378481E-2</v>
      </c>
      <c r="K119" s="2">
        <f t="shared" si="21"/>
        <v>0.99977321624974391</v>
      </c>
      <c r="L119" s="4">
        <f t="shared" si="22"/>
        <v>7.641882631042185E-2</v>
      </c>
      <c r="M119" s="4">
        <f t="shared" si="23"/>
        <v>-5.6316078099064942E-2</v>
      </c>
    </row>
    <row r="120" spans="1:14" x14ac:dyDescent="0.4">
      <c r="A120" s="1">
        <f t="shared" si="13"/>
        <v>5.899999999999987</v>
      </c>
      <c r="B120" s="1">
        <f t="shared" si="25"/>
        <v>0.2</v>
      </c>
      <c r="C120" s="1">
        <v>0.2</v>
      </c>
      <c r="D120" s="1">
        <f t="shared" si="14"/>
        <v>0</v>
      </c>
      <c r="E120" s="1">
        <f t="shared" si="15"/>
        <v>0</v>
      </c>
      <c r="F120" s="1">
        <f t="shared" si="16"/>
        <v>0.2</v>
      </c>
      <c r="G120" s="4">
        <f t="shared" si="17"/>
        <v>0</v>
      </c>
      <c r="H120" s="4">
        <f t="shared" si="18"/>
        <v>-4.6910914536463073</v>
      </c>
      <c r="I120" s="3">
        <f t="shared" si="19"/>
        <v>-268.77974160382365</v>
      </c>
      <c r="J120" s="2">
        <f t="shared" si="20"/>
        <v>-2.1295916736378481E-2</v>
      </c>
      <c r="K120" s="2">
        <f t="shared" si="21"/>
        <v>0.99977321624974391</v>
      </c>
      <c r="L120" s="4">
        <f t="shared" si="22"/>
        <v>7.6205867143058062E-2</v>
      </c>
      <c r="M120" s="4">
        <f t="shared" si="23"/>
        <v>-4.6318345936567501E-2</v>
      </c>
    </row>
    <row r="121" spans="1:14" x14ac:dyDescent="0.4">
      <c r="A121" s="1">
        <f t="shared" si="13"/>
        <v>5.9499999999999869</v>
      </c>
      <c r="B121" s="1">
        <f t="shared" si="25"/>
        <v>0.2</v>
      </c>
      <c r="C121" s="1">
        <v>0.2</v>
      </c>
      <c r="D121" s="1">
        <f t="shared" si="14"/>
        <v>0</v>
      </c>
      <c r="E121" s="1">
        <f t="shared" si="15"/>
        <v>0</v>
      </c>
      <c r="F121" s="1">
        <f t="shared" si="16"/>
        <v>0.2</v>
      </c>
      <c r="G121" s="4">
        <f t="shared" si="17"/>
        <v>0</v>
      </c>
      <c r="H121" s="4">
        <f t="shared" si="18"/>
        <v>-4.6910914536463073</v>
      </c>
      <c r="I121" s="3">
        <f t="shared" si="19"/>
        <v>-268.77974160382365</v>
      </c>
      <c r="J121" s="2">
        <f t="shared" si="20"/>
        <v>-2.1295916736378481E-2</v>
      </c>
      <c r="K121" s="2">
        <f t="shared" si="21"/>
        <v>0.99977321624974391</v>
      </c>
      <c r="L121" s="4">
        <f t="shared" si="22"/>
        <v>7.5992907975694274E-2</v>
      </c>
      <c r="M121" s="4">
        <f t="shared" si="23"/>
        <v>-3.632061377407006E-2</v>
      </c>
    </row>
    <row r="122" spans="1:14" x14ac:dyDescent="0.4">
      <c r="A122" s="1">
        <f t="shared" si="13"/>
        <v>5.9999999999999867</v>
      </c>
      <c r="B122" s="1">
        <f t="shared" si="25"/>
        <v>0.2</v>
      </c>
      <c r="C122" s="1">
        <v>0.2</v>
      </c>
      <c r="D122" s="1">
        <f t="shared" si="14"/>
        <v>0</v>
      </c>
      <c r="E122" s="1">
        <f t="shared" si="15"/>
        <v>0</v>
      </c>
      <c r="F122" s="1">
        <f t="shared" si="16"/>
        <v>0.2</v>
      </c>
      <c r="G122" s="4">
        <f t="shared" si="17"/>
        <v>0</v>
      </c>
      <c r="H122" s="4">
        <f t="shared" si="18"/>
        <v>-4.6910914536463073</v>
      </c>
      <c r="I122" s="3">
        <f t="shared" si="19"/>
        <v>-268.77974160382365</v>
      </c>
      <c r="J122" s="2">
        <f t="shared" si="20"/>
        <v>-2.1295916736378481E-2</v>
      </c>
      <c r="K122" s="2">
        <f t="shared" si="21"/>
        <v>0.99977321624974391</v>
      </c>
      <c r="L122" s="4">
        <f t="shared" si="22"/>
        <v>7.5779948808330486E-2</v>
      </c>
      <c r="M122" s="4">
        <f t="shared" si="23"/>
        <v>-2.6322881611572618E-2</v>
      </c>
    </row>
    <row r="123" spans="1:14" x14ac:dyDescent="0.4">
      <c r="A123" s="1">
        <f t="shared" si="13"/>
        <v>6.0499999999999865</v>
      </c>
      <c r="B123" s="1">
        <f t="shared" si="25"/>
        <v>0.2</v>
      </c>
      <c r="C123" s="1">
        <v>0.2</v>
      </c>
      <c r="D123" s="1">
        <f t="shared" si="14"/>
        <v>0</v>
      </c>
      <c r="E123" s="1">
        <f t="shared" si="15"/>
        <v>0</v>
      </c>
      <c r="F123" s="1">
        <f t="shared" si="16"/>
        <v>0.2</v>
      </c>
      <c r="G123" s="4">
        <f t="shared" si="17"/>
        <v>0</v>
      </c>
      <c r="H123" s="4">
        <f t="shared" si="18"/>
        <v>-4.6910914536463073</v>
      </c>
      <c r="I123" s="3">
        <f t="shared" si="19"/>
        <v>-268.77974160382365</v>
      </c>
      <c r="J123" s="2">
        <f t="shared" si="20"/>
        <v>-2.1295916736378481E-2</v>
      </c>
      <c r="K123" s="2">
        <f t="shared" si="21"/>
        <v>0.99977321624974391</v>
      </c>
      <c r="L123" s="4">
        <f t="shared" si="22"/>
        <v>7.5566989640966697E-2</v>
      </c>
      <c r="M123" s="4">
        <f t="shared" si="23"/>
        <v>-1.6325149449075177E-2</v>
      </c>
    </row>
    <row r="124" spans="1:14" x14ac:dyDescent="0.4">
      <c r="A124" s="1">
        <f t="shared" si="13"/>
        <v>6.0999999999999863</v>
      </c>
      <c r="B124" s="1">
        <f t="shared" si="25"/>
        <v>0.2</v>
      </c>
      <c r="C124" s="1">
        <v>0.2</v>
      </c>
      <c r="D124" s="1">
        <f t="shared" si="14"/>
        <v>0</v>
      </c>
      <c r="E124" s="1">
        <f t="shared" si="15"/>
        <v>0</v>
      </c>
      <c r="F124" s="1">
        <f t="shared" si="16"/>
        <v>0.2</v>
      </c>
      <c r="G124" s="4">
        <f t="shared" si="17"/>
        <v>0</v>
      </c>
      <c r="H124" s="4">
        <f t="shared" si="18"/>
        <v>-4.6910914536463073</v>
      </c>
      <c r="I124" s="3">
        <f t="shared" si="19"/>
        <v>-268.77974160382365</v>
      </c>
      <c r="J124" s="2">
        <f t="shared" si="20"/>
        <v>-2.1295916736378481E-2</v>
      </c>
      <c r="K124" s="2">
        <f t="shared" si="21"/>
        <v>0.99977321624974391</v>
      </c>
      <c r="L124" s="4">
        <f t="shared" si="22"/>
        <v>7.5354030473602909E-2</v>
      </c>
      <c r="M124" s="4">
        <f t="shared" si="23"/>
        <v>-6.3274172865777356E-3</v>
      </c>
    </row>
    <row r="125" spans="1:14" x14ac:dyDescent="0.4">
      <c r="A125" s="1">
        <f t="shared" si="13"/>
        <v>6.1499999999999861</v>
      </c>
      <c r="B125" s="1">
        <f t="shared" si="25"/>
        <v>0.2</v>
      </c>
      <c r="C125" s="1">
        <v>0.2</v>
      </c>
      <c r="D125" s="1">
        <f t="shared" si="14"/>
        <v>0</v>
      </c>
      <c r="E125" s="1">
        <f t="shared" si="15"/>
        <v>0</v>
      </c>
      <c r="F125" s="1">
        <f t="shared" si="16"/>
        <v>0.2</v>
      </c>
      <c r="G125" s="4">
        <f t="shared" si="17"/>
        <v>0</v>
      </c>
      <c r="H125" s="4">
        <f t="shared" si="18"/>
        <v>-4.6910914536463073</v>
      </c>
      <c r="I125" s="3">
        <f t="shared" si="19"/>
        <v>-268.77974160382365</v>
      </c>
      <c r="J125" s="2">
        <f t="shared" si="20"/>
        <v>-2.1295916736378481E-2</v>
      </c>
      <c r="K125" s="2">
        <f t="shared" si="21"/>
        <v>0.99977321624974391</v>
      </c>
      <c r="L125" s="4">
        <f t="shared" si="22"/>
        <v>7.5141071306239121E-2</v>
      </c>
      <c r="M125" s="4">
        <f t="shared" si="23"/>
        <v>3.6703148759197057E-3</v>
      </c>
    </row>
    <row r="126" spans="1:14" x14ac:dyDescent="0.4">
      <c r="A126" s="1">
        <f t="shared" si="13"/>
        <v>6.199999999999986</v>
      </c>
      <c r="B126" s="1">
        <f t="shared" si="25"/>
        <v>0.2</v>
      </c>
      <c r="C126" s="1">
        <v>0.2</v>
      </c>
      <c r="D126" s="1">
        <f t="shared" si="14"/>
        <v>0</v>
      </c>
      <c r="E126" s="1">
        <f t="shared" si="15"/>
        <v>0</v>
      </c>
      <c r="F126" s="1">
        <f t="shared" si="16"/>
        <v>0.2</v>
      </c>
      <c r="G126" s="4">
        <f t="shared" si="17"/>
        <v>0</v>
      </c>
      <c r="H126" s="4">
        <f t="shared" si="18"/>
        <v>-4.6910914536463073</v>
      </c>
      <c r="I126" s="3">
        <f t="shared" si="19"/>
        <v>-268.77974160382365</v>
      </c>
      <c r="J126" s="2">
        <f t="shared" si="20"/>
        <v>-2.1295916736378481E-2</v>
      </c>
      <c r="K126" s="2">
        <f t="shared" si="21"/>
        <v>0.99977321624974391</v>
      </c>
      <c r="L126" s="4">
        <f t="shared" si="22"/>
        <v>7.4928112138875333E-2</v>
      </c>
      <c r="M126" s="4">
        <f t="shared" si="23"/>
        <v>1.3668047038417147E-2</v>
      </c>
    </row>
    <row r="127" spans="1:14" x14ac:dyDescent="0.4">
      <c r="A127" s="1">
        <f t="shared" si="13"/>
        <v>6.2499999999999858</v>
      </c>
      <c r="B127" s="1">
        <f t="shared" si="25"/>
        <v>0.2</v>
      </c>
      <c r="C127" s="1">
        <v>0.2</v>
      </c>
      <c r="D127" s="1">
        <f t="shared" si="14"/>
        <v>0</v>
      </c>
      <c r="E127" s="1">
        <f t="shared" si="15"/>
        <v>0</v>
      </c>
      <c r="F127" s="1">
        <f t="shared" si="16"/>
        <v>0.2</v>
      </c>
      <c r="G127" s="4">
        <f t="shared" si="17"/>
        <v>0</v>
      </c>
      <c r="H127" s="4">
        <f t="shared" si="18"/>
        <v>-4.6910914536463073</v>
      </c>
      <c r="I127" s="3">
        <f t="shared" si="19"/>
        <v>-268.77974160382365</v>
      </c>
      <c r="J127" s="2">
        <f t="shared" si="20"/>
        <v>-2.1295916736378481E-2</v>
      </c>
      <c r="K127" s="2">
        <f t="shared" si="21"/>
        <v>0.99977321624974391</v>
      </c>
      <c r="L127" s="4">
        <f t="shared" si="22"/>
        <v>7.4715152971511545E-2</v>
      </c>
      <c r="M127" s="4">
        <f t="shared" si="23"/>
        <v>2.3665779200914588E-2</v>
      </c>
    </row>
    <row r="128" spans="1:14" x14ac:dyDescent="0.4">
      <c r="A128" s="1">
        <f t="shared" si="13"/>
        <v>6.2999999999999856</v>
      </c>
      <c r="B128" s="1">
        <f t="shared" si="25"/>
        <v>0.2</v>
      </c>
      <c r="C128" s="1">
        <v>0.2</v>
      </c>
      <c r="D128" s="1">
        <f t="shared" si="14"/>
        <v>0</v>
      </c>
      <c r="E128" s="1">
        <f t="shared" si="15"/>
        <v>0</v>
      </c>
      <c r="F128" s="1">
        <f t="shared" si="16"/>
        <v>0.2</v>
      </c>
      <c r="G128" s="4">
        <f t="shared" si="17"/>
        <v>0</v>
      </c>
      <c r="H128" s="4">
        <f t="shared" si="18"/>
        <v>-4.6910914536463073</v>
      </c>
      <c r="I128" s="3">
        <f t="shared" si="19"/>
        <v>-268.77974160382365</v>
      </c>
      <c r="J128" s="2">
        <f t="shared" si="20"/>
        <v>-2.1295916736378481E-2</v>
      </c>
      <c r="K128" s="2">
        <f t="shared" si="21"/>
        <v>0.99977321624974391</v>
      </c>
      <c r="L128" s="4">
        <f t="shared" si="22"/>
        <v>7.4502193804147757E-2</v>
      </c>
      <c r="M128" s="4">
        <f t="shared" si="23"/>
        <v>3.366351136341203E-2</v>
      </c>
    </row>
    <row r="129" spans="1:13" x14ac:dyDescent="0.4">
      <c r="A129" s="1">
        <f t="shared" si="13"/>
        <v>6.3499999999999854</v>
      </c>
      <c r="B129" s="1">
        <f t="shared" si="25"/>
        <v>0.2</v>
      </c>
      <c r="C129" s="1">
        <v>0.2</v>
      </c>
      <c r="D129" s="1">
        <f t="shared" si="14"/>
        <v>0</v>
      </c>
      <c r="E129" s="1">
        <f t="shared" si="15"/>
        <v>0</v>
      </c>
      <c r="F129" s="1">
        <f t="shared" si="16"/>
        <v>0.2</v>
      </c>
      <c r="G129" s="4">
        <f t="shared" si="17"/>
        <v>0</v>
      </c>
      <c r="H129" s="4">
        <f t="shared" si="18"/>
        <v>-4.6910914536463073</v>
      </c>
      <c r="I129" s="3">
        <f t="shared" si="19"/>
        <v>-268.77974160382365</v>
      </c>
      <c r="J129" s="2">
        <f t="shared" si="20"/>
        <v>-2.1295916736378481E-2</v>
      </c>
      <c r="K129" s="2">
        <f t="shared" si="21"/>
        <v>0.99977321624974391</v>
      </c>
      <c r="L129" s="4">
        <f t="shared" si="22"/>
        <v>7.4289234636783968E-2</v>
      </c>
      <c r="M129" s="4">
        <f t="shared" si="23"/>
        <v>4.3661243525909471E-2</v>
      </c>
    </row>
    <row r="130" spans="1:13" x14ac:dyDescent="0.4">
      <c r="A130" s="1">
        <f t="shared" si="13"/>
        <v>6.3999999999999853</v>
      </c>
      <c r="B130" s="1">
        <f t="shared" si="25"/>
        <v>0.2</v>
      </c>
      <c r="C130" s="1">
        <v>0.2</v>
      </c>
      <c r="D130" s="1">
        <f t="shared" si="14"/>
        <v>0</v>
      </c>
      <c r="E130" s="1">
        <f t="shared" si="15"/>
        <v>0</v>
      </c>
      <c r="F130" s="1">
        <f t="shared" si="16"/>
        <v>0.2</v>
      </c>
      <c r="G130" s="4">
        <f t="shared" si="17"/>
        <v>0</v>
      </c>
      <c r="H130" s="4">
        <f t="shared" si="18"/>
        <v>-4.6910914536463073</v>
      </c>
      <c r="I130" s="3">
        <f t="shared" si="19"/>
        <v>-268.77974160382365</v>
      </c>
      <c r="J130" s="2">
        <f t="shared" si="20"/>
        <v>-2.1295916736378481E-2</v>
      </c>
      <c r="K130" s="2">
        <f t="shared" si="21"/>
        <v>0.99977321624974391</v>
      </c>
      <c r="L130" s="4">
        <f t="shared" si="22"/>
        <v>7.407627546942018E-2</v>
      </c>
      <c r="M130" s="4">
        <f t="shared" si="23"/>
        <v>5.3658975688406912E-2</v>
      </c>
    </row>
    <row r="131" spans="1:13" x14ac:dyDescent="0.4">
      <c r="A131" s="1">
        <f t="shared" si="13"/>
        <v>6.4499999999999851</v>
      </c>
      <c r="B131" s="1">
        <f t="shared" si="25"/>
        <v>0.2</v>
      </c>
      <c r="C131" s="1">
        <v>0.2</v>
      </c>
      <c r="D131" s="1">
        <f t="shared" si="14"/>
        <v>0</v>
      </c>
      <c r="E131" s="1">
        <f t="shared" si="15"/>
        <v>0</v>
      </c>
      <c r="F131" s="1">
        <f t="shared" si="16"/>
        <v>0.2</v>
      </c>
      <c r="G131" s="4">
        <f t="shared" si="17"/>
        <v>0</v>
      </c>
      <c r="H131" s="4">
        <f t="shared" si="18"/>
        <v>-4.6910914536463073</v>
      </c>
      <c r="I131" s="3">
        <f t="shared" si="19"/>
        <v>-268.77974160382365</v>
      </c>
      <c r="J131" s="2">
        <f t="shared" si="20"/>
        <v>-2.1295916736378481E-2</v>
      </c>
      <c r="K131" s="2">
        <f t="shared" si="21"/>
        <v>0.99977321624974391</v>
      </c>
      <c r="L131" s="4">
        <f t="shared" si="22"/>
        <v>7.3863316302056392E-2</v>
      </c>
      <c r="M131" s="4">
        <f t="shared" si="23"/>
        <v>6.3656707850904354E-2</v>
      </c>
    </row>
    <row r="132" spans="1:13" x14ac:dyDescent="0.4">
      <c r="A132" s="1">
        <f t="shared" ref="A132:A195" si="26">A131+$P$3</f>
        <v>6.4999999999999849</v>
      </c>
      <c r="B132" s="1">
        <f t="shared" si="25"/>
        <v>0.2</v>
      </c>
      <c r="C132" s="1">
        <v>0.2</v>
      </c>
      <c r="D132" s="1">
        <f t="shared" ref="D132:D195" si="27">(B132-B131)/$P$3</f>
        <v>0</v>
      </c>
      <c r="E132" s="1">
        <f t="shared" ref="E132:E195" si="28">(C132-C131)/$P$3</f>
        <v>0</v>
      </c>
      <c r="F132" s="1">
        <f t="shared" ref="F132:F195" si="29">(B132+C132)/2</f>
        <v>0.2</v>
      </c>
      <c r="G132" s="4">
        <f t="shared" ref="G132:G195" si="30">(B132-C132)/R$3</f>
        <v>0</v>
      </c>
      <c r="H132" s="4">
        <f t="shared" ref="H132:H195" si="31">H131+G132*P$3</f>
        <v>-4.6910914536463073</v>
      </c>
      <c r="I132" s="3">
        <f t="shared" ref="I132:I195" si="32">H132*180/PI()</f>
        <v>-268.77974160382365</v>
      </c>
      <c r="J132" s="2">
        <f t="shared" ref="J132:J195" si="33">COS((H132+H131)/2)</f>
        <v>-2.1295916736378481E-2</v>
      </c>
      <c r="K132" s="2">
        <f t="shared" ref="K132:K195" si="34">SIN((H132+H131)/2)</f>
        <v>0.99977321624974391</v>
      </c>
      <c r="L132" s="4">
        <f t="shared" ref="L132:L195" si="35">L131+F132*P$3*J132</f>
        <v>7.3650357134692604E-2</v>
      </c>
      <c r="M132" s="4">
        <f t="shared" ref="M132:M195" si="36">M131+F132*P$3*K132</f>
        <v>7.3654440013401795E-2</v>
      </c>
    </row>
    <row r="133" spans="1:13" x14ac:dyDescent="0.4">
      <c r="A133" s="1">
        <f t="shared" si="26"/>
        <v>6.5499999999999847</v>
      </c>
      <c r="B133" s="1">
        <f t="shared" si="25"/>
        <v>0.2</v>
      </c>
      <c r="C133" s="1">
        <v>0.2</v>
      </c>
      <c r="D133" s="1">
        <f t="shared" si="27"/>
        <v>0</v>
      </c>
      <c r="E133" s="1">
        <f t="shared" si="28"/>
        <v>0</v>
      </c>
      <c r="F133" s="1">
        <f t="shared" si="29"/>
        <v>0.2</v>
      </c>
      <c r="G133" s="4">
        <f t="shared" si="30"/>
        <v>0</v>
      </c>
      <c r="H133" s="4">
        <f t="shared" si="31"/>
        <v>-4.6910914536463073</v>
      </c>
      <c r="I133" s="3">
        <f t="shared" si="32"/>
        <v>-268.77974160382365</v>
      </c>
      <c r="J133" s="2">
        <f t="shared" si="33"/>
        <v>-2.1295916736378481E-2</v>
      </c>
      <c r="K133" s="2">
        <f t="shared" si="34"/>
        <v>0.99977321624974391</v>
      </c>
      <c r="L133" s="4">
        <f t="shared" si="35"/>
        <v>7.3437397967328816E-2</v>
      </c>
      <c r="M133" s="4">
        <f t="shared" si="36"/>
        <v>8.3652172175899236E-2</v>
      </c>
    </row>
    <row r="134" spans="1:13" x14ac:dyDescent="0.4">
      <c r="A134" s="1">
        <f t="shared" si="26"/>
        <v>6.5999999999999845</v>
      </c>
      <c r="B134" s="1">
        <f t="shared" si="25"/>
        <v>0.2</v>
      </c>
      <c r="C134" s="1">
        <v>0.2</v>
      </c>
      <c r="D134" s="1">
        <f t="shared" si="27"/>
        <v>0</v>
      </c>
      <c r="E134" s="1">
        <f t="shared" si="28"/>
        <v>0</v>
      </c>
      <c r="F134" s="1">
        <f t="shared" si="29"/>
        <v>0.2</v>
      </c>
      <c r="G134" s="4">
        <f t="shared" si="30"/>
        <v>0</v>
      </c>
      <c r="H134" s="4">
        <f t="shared" si="31"/>
        <v>-4.6910914536463073</v>
      </c>
      <c r="I134" s="3">
        <f t="shared" si="32"/>
        <v>-268.77974160382365</v>
      </c>
      <c r="J134" s="2">
        <f t="shared" si="33"/>
        <v>-2.1295916736378481E-2</v>
      </c>
      <c r="K134" s="2">
        <f t="shared" si="34"/>
        <v>0.99977321624974391</v>
      </c>
      <c r="L134" s="4">
        <f t="shared" si="35"/>
        <v>7.3224438799965028E-2</v>
      </c>
      <c r="M134" s="4">
        <f t="shared" si="36"/>
        <v>9.3649904338396678E-2</v>
      </c>
    </row>
    <row r="135" spans="1:13" x14ac:dyDescent="0.4">
      <c r="A135" s="1">
        <f t="shared" si="26"/>
        <v>6.6499999999999844</v>
      </c>
      <c r="B135" s="1">
        <f t="shared" si="25"/>
        <v>0.2</v>
      </c>
      <c r="C135" s="1">
        <v>0.2</v>
      </c>
      <c r="D135" s="1">
        <f t="shared" si="27"/>
        <v>0</v>
      </c>
      <c r="E135" s="1">
        <f t="shared" si="28"/>
        <v>0</v>
      </c>
      <c r="F135" s="1">
        <f t="shared" si="29"/>
        <v>0.2</v>
      </c>
      <c r="G135" s="4">
        <f t="shared" si="30"/>
        <v>0</v>
      </c>
      <c r="H135" s="4">
        <f t="shared" si="31"/>
        <v>-4.6910914536463073</v>
      </c>
      <c r="I135" s="3">
        <f t="shared" si="32"/>
        <v>-268.77974160382365</v>
      </c>
      <c r="J135" s="2">
        <f t="shared" si="33"/>
        <v>-2.1295916736378481E-2</v>
      </c>
      <c r="K135" s="2">
        <f t="shared" si="34"/>
        <v>0.99977321624974391</v>
      </c>
      <c r="L135" s="4">
        <f t="shared" si="35"/>
        <v>7.3011479632601239E-2</v>
      </c>
      <c r="M135" s="4">
        <f t="shared" si="36"/>
        <v>0.10364763650089412</v>
      </c>
    </row>
    <row r="136" spans="1:13" x14ac:dyDescent="0.4">
      <c r="A136" s="1">
        <f t="shared" si="26"/>
        <v>6.6999999999999842</v>
      </c>
      <c r="B136" s="1">
        <f t="shared" si="25"/>
        <v>0.2</v>
      </c>
      <c r="C136" s="1">
        <v>0.2</v>
      </c>
      <c r="D136" s="1">
        <f t="shared" si="27"/>
        <v>0</v>
      </c>
      <c r="E136" s="1">
        <f t="shared" si="28"/>
        <v>0</v>
      </c>
      <c r="F136" s="1">
        <f t="shared" si="29"/>
        <v>0.2</v>
      </c>
      <c r="G136" s="4">
        <f t="shared" si="30"/>
        <v>0</v>
      </c>
      <c r="H136" s="4">
        <f t="shared" si="31"/>
        <v>-4.6910914536463073</v>
      </c>
      <c r="I136" s="3">
        <f t="shared" si="32"/>
        <v>-268.77974160382365</v>
      </c>
      <c r="J136" s="2">
        <f t="shared" si="33"/>
        <v>-2.1295916736378481E-2</v>
      </c>
      <c r="K136" s="2">
        <f t="shared" si="34"/>
        <v>0.99977321624974391</v>
      </c>
      <c r="L136" s="4">
        <f t="shared" si="35"/>
        <v>7.2798520465237451E-2</v>
      </c>
      <c r="M136" s="4">
        <f t="shared" si="36"/>
        <v>0.11364536866339156</v>
      </c>
    </row>
    <row r="137" spans="1:13" x14ac:dyDescent="0.4">
      <c r="A137" s="1">
        <f t="shared" si="26"/>
        <v>6.749999999999984</v>
      </c>
      <c r="B137" s="1">
        <f t="shared" si="25"/>
        <v>0.2</v>
      </c>
      <c r="C137" s="1">
        <v>0.2</v>
      </c>
      <c r="D137" s="1">
        <f t="shared" si="27"/>
        <v>0</v>
      </c>
      <c r="E137" s="1">
        <f t="shared" si="28"/>
        <v>0</v>
      </c>
      <c r="F137" s="1">
        <f t="shared" si="29"/>
        <v>0.2</v>
      </c>
      <c r="G137" s="4">
        <f t="shared" si="30"/>
        <v>0</v>
      </c>
      <c r="H137" s="4">
        <f t="shared" si="31"/>
        <v>-4.6910914536463073</v>
      </c>
      <c r="I137" s="3">
        <f t="shared" si="32"/>
        <v>-268.77974160382365</v>
      </c>
      <c r="J137" s="2">
        <f t="shared" si="33"/>
        <v>-2.1295916736378481E-2</v>
      </c>
      <c r="K137" s="2">
        <f t="shared" si="34"/>
        <v>0.99977321624974391</v>
      </c>
      <c r="L137" s="4">
        <f t="shared" si="35"/>
        <v>7.2585561297873663E-2</v>
      </c>
      <c r="M137" s="4">
        <f t="shared" si="36"/>
        <v>0.123643100825889</v>
      </c>
    </row>
    <row r="138" spans="1:13" x14ac:dyDescent="0.4">
      <c r="A138" s="1">
        <f t="shared" si="26"/>
        <v>6.7999999999999838</v>
      </c>
      <c r="B138" s="1">
        <f t="shared" si="25"/>
        <v>0.2</v>
      </c>
      <c r="C138" s="1">
        <v>0.2</v>
      </c>
      <c r="D138" s="1">
        <f t="shared" si="27"/>
        <v>0</v>
      </c>
      <c r="E138" s="1">
        <f t="shared" si="28"/>
        <v>0</v>
      </c>
      <c r="F138" s="1">
        <f t="shared" si="29"/>
        <v>0.2</v>
      </c>
      <c r="G138" s="4">
        <f t="shared" si="30"/>
        <v>0</v>
      </c>
      <c r="H138" s="4">
        <f t="shared" si="31"/>
        <v>-4.6910914536463073</v>
      </c>
      <c r="I138" s="3">
        <f t="shared" si="32"/>
        <v>-268.77974160382365</v>
      </c>
      <c r="J138" s="2">
        <f t="shared" si="33"/>
        <v>-2.1295916736378481E-2</v>
      </c>
      <c r="K138" s="2">
        <f t="shared" si="34"/>
        <v>0.99977321624974391</v>
      </c>
      <c r="L138" s="4">
        <f t="shared" si="35"/>
        <v>7.2372602130509875E-2</v>
      </c>
      <c r="M138" s="4">
        <f t="shared" si="36"/>
        <v>0.13364083298838644</v>
      </c>
    </row>
    <row r="139" spans="1:13" x14ac:dyDescent="0.4">
      <c r="A139" s="1">
        <f t="shared" si="26"/>
        <v>6.8499999999999837</v>
      </c>
      <c r="B139" s="1">
        <f t="shared" si="25"/>
        <v>0.2</v>
      </c>
      <c r="C139" s="1">
        <v>0.2</v>
      </c>
      <c r="D139" s="1">
        <f t="shared" si="27"/>
        <v>0</v>
      </c>
      <c r="E139" s="1">
        <f t="shared" si="28"/>
        <v>0</v>
      </c>
      <c r="F139" s="1">
        <f t="shared" si="29"/>
        <v>0.2</v>
      </c>
      <c r="G139" s="4">
        <f t="shared" si="30"/>
        <v>0</v>
      </c>
      <c r="H139" s="4">
        <f t="shared" si="31"/>
        <v>-4.6910914536463073</v>
      </c>
      <c r="I139" s="3">
        <f t="shared" si="32"/>
        <v>-268.77974160382365</v>
      </c>
      <c r="J139" s="2">
        <f t="shared" si="33"/>
        <v>-2.1295916736378481E-2</v>
      </c>
      <c r="K139" s="2">
        <f t="shared" si="34"/>
        <v>0.99977321624974391</v>
      </c>
      <c r="L139" s="4">
        <f t="shared" si="35"/>
        <v>7.2159642963146087E-2</v>
      </c>
      <c r="M139" s="4">
        <f t="shared" si="36"/>
        <v>0.14363856515088388</v>
      </c>
    </row>
    <row r="140" spans="1:13" x14ac:dyDescent="0.4">
      <c r="A140" s="1">
        <f t="shared" si="26"/>
        <v>6.8999999999999835</v>
      </c>
      <c r="B140" s="1">
        <f t="shared" si="25"/>
        <v>0.2</v>
      </c>
      <c r="C140" s="1">
        <v>0.2</v>
      </c>
      <c r="D140" s="1">
        <f t="shared" si="27"/>
        <v>0</v>
      </c>
      <c r="E140" s="1">
        <f t="shared" si="28"/>
        <v>0</v>
      </c>
      <c r="F140" s="1">
        <f t="shared" si="29"/>
        <v>0.2</v>
      </c>
      <c r="G140" s="4">
        <f t="shared" si="30"/>
        <v>0</v>
      </c>
      <c r="H140" s="4">
        <f t="shared" si="31"/>
        <v>-4.6910914536463073</v>
      </c>
      <c r="I140" s="3">
        <f t="shared" si="32"/>
        <v>-268.77974160382365</v>
      </c>
      <c r="J140" s="2">
        <f t="shared" si="33"/>
        <v>-2.1295916736378481E-2</v>
      </c>
      <c r="K140" s="2">
        <f t="shared" si="34"/>
        <v>0.99977321624974391</v>
      </c>
      <c r="L140" s="4">
        <f t="shared" si="35"/>
        <v>7.1946683795782299E-2</v>
      </c>
      <c r="M140" s="4">
        <f t="shared" si="36"/>
        <v>0.15363629731338133</v>
      </c>
    </row>
    <row r="141" spans="1:13" x14ac:dyDescent="0.4">
      <c r="A141" s="1">
        <f t="shared" si="26"/>
        <v>6.9499999999999833</v>
      </c>
      <c r="B141" s="1">
        <f t="shared" si="25"/>
        <v>0.2</v>
      </c>
      <c r="C141" s="1">
        <v>0.2</v>
      </c>
      <c r="D141" s="1">
        <f t="shared" si="27"/>
        <v>0</v>
      </c>
      <c r="E141" s="1">
        <f t="shared" si="28"/>
        <v>0</v>
      </c>
      <c r="F141" s="1">
        <f t="shared" si="29"/>
        <v>0.2</v>
      </c>
      <c r="G141" s="4">
        <f t="shared" si="30"/>
        <v>0</v>
      </c>
      <c r="H141" s="4">
        <f t="shared" si="31"/>
        <v>-4.6910914536463073</v>
      </c>
      <c r="I141" s="3">
        <f t="shared" si="32"/>
        <v>-268.77974160382365</v>
      </c>
      <c r="J141" s="2">
        <f t="shared" si="33"/>
        <v>-2.1295916736378481E-2</v>
      </c>
      <c r="K141" s="2">
        <f t="shared" si="34"/>
        <v>0.99977321624974391</v>
      </c>
      <c r="L141" s="4">
        <f t="shared" si="35"/>
        <v>7.173372462841851E-2</v>
      </c>
      <c r="M141" s="4">
        <f t="shared" si="36"/>
        <v>0.16363402947587877</v>
      </c>
    </row>
    <row r="142" spans="1:13" x14ac:dyDescent="0.4">
      <c r="A142" s="1">
        <f t="shared" si="26"/>
        <v>6.9999999999999831</v>
      </c>
      <c r="B142" s="1">
        <f t="shared" si="25"/>
        <v>0.2</v>
      </c>
      <c r="C142" s="1">
        <v>0.2</v>
      </c>
      <c r="D142" s="1">
        <f t="shared" si="27"/>
        <v>0</v>
      </c>
      <c r="E142" s="1">
        <f t="shared" si="28"/>
        <v>0</v>
      </c>
      <c r="F142" s="1">
        <f t="shared" si="29"/>
        <v>0.2</v>
      </c>
      <c r="G142" s="4">
        <f t="shared" si="30"/>
        <v>0</v>
      </c>
      <c r="H142" s="4">
        <f t="shared" si="31"/>
        <v>-4.6910914536463073</v>
      </c>
      <c r="I142" s="3">
        <f t="shared" si="32"/>
        <v>-268.77974160382365</v>
      </c>
      <c r="J142" s="2">
        <f t="shared" si="33"/>
        <v>-2.1295916736378481E-2</v>
      </c>
      <c r="K142" s="2">
        <f t="shared" si="34"/>
        <v>0.99977321624974391</v>
      </c>
      <c r="L142" s="4">
        <f t="shared" si="35"/>
        <v>7.1520765461054722E-2</v>
      </c>
      <c r="M142" s="4">
        <f t="shared" si="36"/>
        <v>0.17363176163837621</v>
      </c>
    </row>
    <row r="143" spans="1:13" x14ac:dyDescent="0.4">
      <c r="A143" s="1">
        <f t="shared" si="26"/>
        <v>7.0499999999999829</v>
      </c>
      <c r="B143" s="1">
        <f t="shared" si="25"/>
        <v>0.2</v>
      </c>
      <c r="C143" s="1">
        <v>0.2</v>
      </c>
      <c r="D143" s="1">
        <f t="shared" si="27"/>
        <v>0</v>
      </c>
      <c r="E143" s="1">
        <f t="shared" si="28"/>
        <v>0</v>
      </c>
      <c r="F143" s="1">
        <f t="shared" si="29"/>
        <v>0.2</v>
      </c>
      <c r="G143" s="4">
        <f t="shared" si="30"/>
        <v>0</v>
      </c>
      <c r="H143" s="4">
        <f t="shared" si="31"/>
        <v>-4.6910914536463073</v>
      </c>
      <c r="I143" s="3">
        <f t="shared" si="32"/>
        <v>-268.77974160382365</v>
      </c>
      <c r="J143" s="2">
        <f t="shared" si="33"/>
        <v>-2.1295916736378481E-2</v>
      </c>
      <c r="K143" s="2">
        <f t="shared" si="34"/>
        <v>0.99977321624974391</v>
      </c>
      <c r="L143" s="4">
        <f t="shared" si="35"/>
        <v>7.1307806293690934E-2</v>
      </c>
      <c r="M143" s="4">
        <f t="shared" si="36"/>
        <v>0.18362949380087365</v>
      </c>
    </row>
    <row r="144" spans="1:13" x14ac:dyDescent="0.4">
      <c r="A144" s="1">
        <f t="shared" si="26"/>
        <v>7.0999999999999828</v>
      </c>
      <c r="B144" s="1">
        <f t="shared" si="25"/>
        <v>0.2</v>
      </c>
      <c r="C144" s="1">
        <v>0.2</v>
      </c>
      <c r="D144" s="1">
        <f t="shared" si="27"/>
        <v>0</v>
      </c>
      <c r="E144" s="1">
        <f t="shared" si="28"/>
        <v>0</v>
      </c>
      <c r="F144" s="1">
        <f t="shared" si="29"/>
        <v>0.2</v>
      </c>
      <c r="G144" s="4">
        <f t="shared" si="30"/>
        <v>0</v>
      </c>
      <c r="H144" s="4">
        <f t="shared" si="31"/>
        <v>-4.6910914536463073</v>
      </c>
      <c r="I144" s="3">
        <f t="shared" si="32"/>
        <v>-268.77974160382365</v>
      </c>
      <c r="J144" s="2">
        <f t="shared" si="33"/>
        <v>-2.1295916736378481E-2</v>
      </c>
      <c r="K144" s="2">
        <f t="shared" si="34"/>
        <v>0.99977321624974391</v>
      </c>
      <c r="L144" s="4">
        <f t="shared" si="35"/>
        <v>7.1094847126327146E-2</v>
      </c>
      <c r="M144" s="4">
        <f t="shared" si="36"/>
        <v>0.19362722596337109</v>
      </c>
    </row>
    <row r="145" spans="1:13" x14ac:dyDescent="0.4">
      <c r="A145" s="1">
        <f t="shared" si="26"/>
        <v>7.1499999999999826</v>
      </c>
      <c r="B145" s="1">
        <f t="shared" si="25"/>
        <v>0.2</v>
      </c>
      <c r="C145" s="1">
        <v>0.2</v>
      </c>
      <c r="D145" s="1">
        <f t="shared" si="27"/>
        <v>0</v>
      </c>
      <c r="E145" s="1">
        <f t="shared" si="28"/>
        <v>0</v>
      </c>
      <c r="F145" s="1">
        <f t="shared" si="29"/>
        <v>0.2</v>
      </c>
      <c r="G145" s="4">
        <f t="shared" si="30"/>
        <v>0</v>
      </c>
      <c r="H145" s="4">
        <f t="shared" si="31"/>
        <v>-4.6910914536463073</v>
      </c>
      <c r="I145" s="3">
        <f t="shared" si="32"/>
        <v>-268.77974160382365</v>
      </c>
      <c r="J145" s="2">
        <f t="shared" si="33"/>
        <v>-2.1295916736378481E-2</v>
      </c>
      <c r="K145" s="2">
        <f t="shared" si="34"/>
        <v>0.99977321624974391</v>
      </c>
      <c r="L145" s="4">
        <f t="shared" si="35"/>
        <v>7.0881887958963358E-2</v>
      </c>
      <c r="M145" s="4">
        <f t="shared" si="36"/>
        <v>0.20362495812586853</v>
      </c>
    </row>
    <row r="146" spans="1:13" x14ac:dyDescent="0.4">
      <c r="A146" s="1">
        <f t="shared" si="26"/>
        <v>7.1999999999999824</v>
      </c>
      <c r="B146" s="1">
        <f t="shared" si="25"/>
        <v>0.2</v>
      </c>
      <c r="C146" s="1">
        <v>0.2</v>
      </c>
      <c r="D146" s="1">
        <f t="shared" si="27"/>
        <v>0</v>
      </c>
      <c r="E146" s="1">
        <f t="shared" si="28"/>
        <v>0</v>
      </c>
      <c r="F146" s="1">
        <f t="shared" si="29"/>
        <v>0.2</v>
      </c>
      <c r="G146" s="4">
        <f t="shared" si="30"/>
        <v>0</v>
      </c>
      <c r="H146" s="4">
        <f t="shared" si="31"/>
        <v>-4.6910914536463073</v>
      </c>
      <c r="I146" s="3">
        <f t="shared" si="32"/>
        <v>-268.77974160382365</v>
      </c>
      <c r="J146" s="2">
        <f t="shared" si="33"/>
        <v>-2.1295916736378481E-2</v>
      </c>
      <c r="K146" s="2">
        <f t="shared" si="34"/>
        <v>0.99977321624974391</v>
      </c>
      <c r="L146" s="4">
        <f t="shared" si="35"/>
        <v>7.066892879159957E-2</v>
      </c>
      <c r="M146" s="4">
        <f t="shared" si="36"/>
        <v>0.21362269028836597</v>
      </c>
    </row>
    <row r="147" spans="1:13" x14ac:dyDescent="0.4">
      <c r="A147" s="1">
        <f t="shared" si="26"/>
        <v>7.2499999999999822</v>
      </c>
      <c r="B147" s="1">
        <f t="shared" si="25"/>
        <v>0.2</v>
      </c>
      <c r="C147" s="1">
        <v>0.2</v>
      </c>
      <c r="D147" s="1">
        <f t="shared" si="27"/>
        <v>0</v>
      </c>
      <c r="E147" s="1">
        <f t="shared" si="28"/>
        <v>0</v>
      </c>
      <c r="F147" s="1">
        <f t="shared" si="29"/>
        <v>0.2</v>
      </c>
      <c r="G147" s="4">
        <f t="shared" si="30"/>
        <v>0</v>
      </c>
      <c r="H147" s="4">
        <f t="shared" si="31"/>
        <v>-4.6910914536463073</v>
      </c>
      <c r="I147" s="3">
        <f t="shared" si="32"/>
        <v>-268.77974160382365</v>
      </c>
      <c r="J147" s="2">
        <f t="shared" si="33"/>
        <v>-2.1295916736378481E-2</v>
      </c>
      <c r="K147" s="2">
        <f t="shared" si="34"/>
        <v>0.99977321624974391</v>
      </c>
      <c r="L147" s="4">
        <f t="shared" si="35"/>
        <v>7.0455969624235781E-2</v>
      </c>
      <c r="M147" s="4">
        <f t="shared" si="36"/>
        <v>0.22362042245086342</v>
      </c>
    </row>
    <row r="148" spans="1:13" x14ac:dyDescent="0.4">
      <c r="A148" s="1">
        <f t="shared" si="26"/>
        <v>7.2999999999999821</v>
      </c>
      <c r="B148" s="1">
        <f t="shared" si="25"/>
        <v>0.2</v>
      </c>
      <c r="C148" s="1">
        <v>0.2</v>
      </c>
      <c r="D148" s="1">
        <f t="shared" si="27"/>
        <v>0</v>
      </c>
      <c r="E148" s="1">
        <f t="shared" si="28"/>
        <v>0</v>
      </c>
      <c r="F148" s="1">
        <f t="shared" si="29"/>
        <v>0.2</v>
      </c>
      <c r="G148" s="4">
        <f t="shared" si="30"/>
        <v>0</v>
      </c>
      <c r="H148" s="4">
        <f t="shared" si="31"/>
        <v>-4.6910914536463073</v>
      </c>
      <c r="I148" s="3">
        <f t="shared" si="32"/>
        <v>-268.77974160382365</v>
      </c>
      <c r="J148" s="2">
        <f t="shared" si="33"/>
        <v>-2.1295916736378481E-2</v>
      </c>
      <c r="K148" s="2">
        <f t="shared" si="34"/>
        <v>0.99977321624974391</v>
      </c>
      <c r="L148" s="4">
        <f t="shared" si="35"/>
        <v>7.0243010456871993E-2</v>
      </c>
      <c r="M148" s="4">
        <f t="shared" si="36"/>
        <v>0.23361815461336086</v>
      </c>
    </row>
    <row r="149" spans="1:13" x14ac:dyDescent="0.4">
      <c r="A149" s="1">
        <f t="shared" si="26"/>
        <v>7.3499999999999819</v>
      </c>
      <c r="B149" s="1">
        <f t="shared" si="25"/>
        <v>0.2</v>
      </c>
      <c r="C149" s="1">
        <v>0.2</v>
      </c>
      <c r="D149" s="1">
        <f t="shared" si="27"/>
        <v>0</v>
      </c>
      <c r="E149" s="1">
        <f t="shared" si="28"/>
        <v>0</v>
      </c>
      <c r="F149" s="1">
        <f t="shared" si="29"/>
        <v>0.2</v>
      </c>
      <c r="G149" s="4">
        <f t="shared" si="30"/>
        <v>0</v>
      </c>
      <c r="H149" s="4">
        <f t="shared" si="31"/>
        <v>-4.6910914536463073</v>
      </c>
      <c r="I149" s="3">
        <f t="shared" si="32"/>
        <v>-268.77974160382365</v>
      </c>
      <c r="J149" s="2">
        <f t="shared" si="33"/>
        <v>-2.1295916736378481E-2</v>
      </c>
      <c r="K149" s="2">
        <f t="shared" si="34"/>
        <v>0.99977321624974391</v>
      </c>
      <c r="L149" s="4">
        <f t="shared" si="35"/>
        <v>7.0030051289508205E-2</v>
      </c>
      <c r="M149" s="4">
        <f t="shared" si="36"/>
        <v>0.2436158867758583</v>
      </c>
    </row>
    <row r="150" spans="1:13" x14ac:dyDescent="0.4">
      <c r="A150" s="1">
        <f t="shared" si="26"/>
        <v>7.3999999999999817</v>
      </c>
      <c r="B150" s="1">
        <f t="shared" si="25"/>
        <v>0.2</v>
      </c>
      <c r="C150" s="1">
        <v>0.2</v>
      </c>
      <c r="D150" s="1">
        <f t="shared" si="27"/>
        <v>0</v>
      </c>
      <c r="E150" s="1">
        <f t="shared" si="28"/>
        <v>0</v>
      </c>
      <c r="F150" s="1">
        <f t="shared" si="29"/>
        <v>0.2</v>
      </c>
      <c r="G150" s="4">
        <f t="shared" si="30"/>
        <v>0</v>
      </c>
      <c r="H150" s="4">
        <f t="shared" si="31"/>
        <v>-4.6910914536463073</v>
      </c>
      <c r="I150" s="3">
        <f t="shared" si="32"/>
        <v>-268.77974160382365</v>
      </c>
      <c r="J150" s="2">
        <f t="shared" si="33"/>
        <v>-2.1295916736378481E-2</v>
      </c>
      <c r="K150" s="2">
        <f t="shared" si="34"/>
        <v>0.99977321624974391</v>
      </c>
      <c r="L150" s="4">
        <f t="shared" si="35"/>
        <v>6.9817092122144417E-2</v>
      </c>
      <c r="M150" s="4">
        <f t="shared" si="36"/>
        <v>0.25361361893835577</v>
      </c>
    </row>
    <row r="151" spans="1:13" x14ac:dyDescent="0.4">
      <c r="A151" s="1">
        <f t="shared" si="26"/>
        <v>7.4499999999999815</v>
      </c>
      <c r="B151" s="1">
        <f t="shared" si="25"/>
        <v>0.2</v>
      </c>
      <c r="C151" s="1">
        <v>0.2</v>
      </c>
      <c r="D151" s="1">
        <f t="shared" si="27"/>
        <v>0</v>
      </c>
      <c r="E151" s="1">
        <f t="shared" si="28"/>
        <v>0</v>
      </c>
      <c r="F151" s="1">
        <f t="shared" si="29"/>
        <v>0.2</v>
      </c>
      <c r="G151" s="4">
        <f t="shared" si="30"/>
        <v>0</v>
      </c>
      <c r="H151" s="4">
        <f t="shared" si="31"/>
        <v>-4.6910914536463073</v>
      </c>
      <c r="I151" s="3">
        <f t="shared" si="32"/>
        <v>-268.77974160382365</v>
      </c>
      <c r="J151" s="2">
        <f t="shared" si="33"/>
        <v>-2.1295916736378481E-2</v>
      </c>
      <c r="K151" s="2">
        <f t="shared" si="34"/>
        <v>0.99977321624974391</v>
      </c>
      <c r="L151" s="4">
        <f t="shared" si="35"/>
        <v>6.9604132954780629E-2</v>
      </c>
      <c r="M151" s="4">
        <f t="shared" si="36"/>
        <v>0.26361135110085321</v>
      </c>
    </row>
    <row r="152" spans="1:13" x14ac:dyDescent="0.4">
      <c r="A152" s="1">
        <f t="shared" si="26"/>
        <v>7.4999999999999813</v>
      </c>
      <c r="B152" s="1">
        <f t="shared" si="25"/>
        <v>0.2</v>
      </c>
      <c r="C152" s="1">
        <v>0.2</v>
      </c>
      <c r="D152" s="1">
        <f t="shared" si="27"/>
        <v>0</v>
      </c>
      <c r="E152" s="1">
        <f t="shared" si="28"/>
        <v>0</v>
      </c>
      <c r="F152" s="1">
        <f t="shared" si="29"/>
        <v>0.2</v>
      </c>
      <c r="G152" s="4">
        <f t="shared" si="30"/>
        <v>0</v>
      </c>
      <c r="H152" s="4">
        <f t="shared" si="31"/>
        <v>-4.6910914536463073</v>
      </c>
      <c r="I152" s="3">
        <f t="shared" si="32"/>
        <v>-268.77974160382365</v>
      </c>
      <c r="J152" s="2">
        <f t="shared" si="33"/>
        <v>-2.1295916736378481E-2</v>
      </c>
      <c r="K152" s="2">
        <f t="shared" si="34"/>
        <v>0.99977321624974391</v>
      </c>
      <c r="L152" s="4">
        <f t="shared" si="35"/>
        <v>6.9391173787416841E-2</v>
      </c>
      <c r="M152" s="4">
        <f t="shared" si="36"/>
        <v>0.27360908326335065</v>
      </c>
    </row>
    <row r="153" spans="1:13" x14ac:dyDescent="0.4">
      <c r="A153" s="1">
        <f t="shared" si="26"/>
        <v>7.5499999999999812</v>
      </c>
      <c r="B153" s="1">
        <f t="shared" si="25"/>
        <v>0.2</v>
      </c>
      <c r="C153" s="1">
        <v>0.2</v>
      </c>
      <c r="D153" s="1">
        <f t="shared" si="27"/>
        <v>0</v>
      </c>
      <c r="E153" s="1">
        <f t="shared" si="28"/>
        <v>0</v>
      </c>
      <c r="F153" s="1">
        <f t="shared" si="29"/>
        <v>0.2</v>
      </c>
      <c r="G153" s="4">
        <f t="shared" si="30"/>
        <v>0</v>
      </c>
      <c r="H153" s="4">
        <f t="shared" si="31"/>
        <v>-4.6910914536463073</v>
      </c>
      <c r="I153" s="3">
        <f t="shared" si="32"/>
        <v>-268.77974160382365</v>
      </c>
      <c r="J153" s="2">
        <f t="shared" si="33"/>
        <v>-2.1295916736378481E-2</v>
      </c>
      <c r="K153" s="2">
        <f t="shared" si="34"/>
        <v>0.99977321624974391</v>
      </c>
      <c r="L153" s="4">
        <f t="shared" si="35"/>
        <v>6.9178214620053052E-2</v>
      </c>
      <c r="M153" s="4">
        <f t="shared" si="36"/>
        <v>0.28360681542584809</v>
      </c>
    </row>
    <row r="154" spans="1:13" x14ac:dyDescent="0.4">
      <c r="A154" s="1">
        <f t="shared" si="26"/>
        <v>7.599999999999981</v>
      </c>
      <c r="B154" s="1">
        <f t="shared" si="25"/>
        <v>0.2</v>
      </c>
      <c r="C154" s="1">
        <v>0.2</v>
      </c>
      <c r="D154" s="1">
        <f t="shared" si="27"/>
        <v>0</v>
      </c>
      <c r="E154" s="1">
        <f t="shared" si="28"/>
        <v>0</v>
      </c>
      <c r="F154" s="1">
        <f t="shared" si="29"/>
        <v>0.2</v>
      </c>
      <c r="G154" s="4">
        <f t="shared" si="30"/>
        <v>0</v>
      </c>
      <c r="H154" s="4">
        <f t="shared" si="31"/>
        <v>-4.6910914536463073</v>
      </c>
      <c r="I154" s="3">
        <f t="shared" si="32"/>
        <v>-268.77974160382365</v>
      </c>
      <c r="J154" s="2">
        <f t="shared" si="33"/>
        <v>-2.1295916736378481E-2</v>
      </c>
      <c r="K154" s="2">
        <f t="shared" si="34"/>
        <v>0.99977321624974391</v>
      </c>
      <c r="L154" s="4">
        <f t="shared" si="35"/>
        <v>6.8965255452689264E-2</v>
      </c>
      <c r="M154" s="4">
        <f t="shared" si="36"/>
        <v>0.29360454758834553</v>
      </c>
    </row>
    <row r="155" spans="1:13" x14ac:dyDescent="0.4">
      <c r="A155" s="1">
        <f t="shared" si="26"/>
        <v>7.6499999999999808</v>
      </c>
      <c r="B155" s="1">
        <f t="shared" si="25"/>
        <v>0.2</v>
      </c>
      <c r="C155" s="1">
        <v>0.2</v>
      </c>
      <c r="D155" s="1">
        <f t="shared" si="27"/>
        <v>0</v>
      </c>
      <c r="E155" s="1">
        <f t="shared" si="28"/>
        <v>0</v>
      </c>
      <c r="F155" s="1">
        <f t="shared" si="29"/>
        <v>0.2</v>
      </c>
      <c r="G155" s="4">
        <f t="shared" si="30"/>
        <v>0</v>
      </c>
      <c r="H155" s="4">
        <f t="shared" si="31"/>
        <v>-4.6910914536463073</v>
      </c>
      <c r="I155" s="3">
        <f t="shared" si="32"/>
        <v>-268.77974160382365</v>
      </c>
      <c r="J155" s="2">
        <f t="shared" si="33"/>
        <v>-2.1295916736378481E-2</v>
      </c>
      <c r="K155" s="2">
        <f t="shared" si="34"/>
        <v>0.99977321624974391</v>
      </c>
      <c r="L155" s="4">
        <f t="shared" si="35"/>
        <v>6.8752296285325476E-2</v>
      </c>
      <c r="M155" s="4">
        <f t="shared" si="36"/>
        <v>0.30360227975084297</v>
      </c>
    </row>
    <row r="156" spans="1:13" x14ac:dyDescent="0.4">
      <c r="A156" s="1">
        <f t="shared" si="26"/>
        <v>7.6999999999999806</v>
      </c>
      <c r="B156" s="1">
        <f t="shared" si="25"/>
        <v>0.2</v>
      </c>
      <c r="C156" s="1">
        <v>0.2</v>
      </c>
      <c r="D156" s="1">
        <f t="shared" si="27"/>
        <v>0</v>
      </c>
      <c r="E156" s="1">
        <f t="shared" si="28"/>
        <v>0</v>
      </c>
      <c r="F156" s="1">
        <f t="shared" si="29"/>
        <v>0.2</v>
      </c>
      <c r="G156" s="4">
        <f t="shared" si="30"/>
        <v>0</v>
      </c>
      <c r="H156" s="4">
        <f t="shared" si="31"/>
        <v>-4.6910914536463073</v>
      </c>
      <c r="I156" s="3">
        <f t="shared" si="32"/>
        <v>-268.77974160382365</v>
      </c>
      <c r="J156" s="2">
        <f t="shared" si="33"/>
        <v>-2.1295916736378481E-2</v>
      </c>
      <c r="K156" s="2">
        <f t="shared" si="34"/>
        <v>0.99977321624974391</v>
      </c>
      <c r="L156" s="4">
        <f t="shared" si="35"/>
        <v>6.8539337117961688E-2</v>
      </c>
      <c r="M156" s="4">
        <f t="shared" si="36"/>
        <v>0.31360001191334042</v>
      </c>
    </row>
    <row r="157" spans="1:13" x14ac:dyDescent="0.4">
      <c r="A157" s="1">
        <f t="shared" si="26"/>
        <v>7.7499999999999805</v>
      </c>
      <c r="B157" s="1">
        <f t="shared" si="25"/>
        <v>0.2</v>
      </c>
      <c r="C157" s="1">
        <v>0.2</v>
      </c>
      <c r="D157" s="1">
        <f t="shared" si="27"/>
        <v>0</v>
      </c>
      <c r="E157" s="1">
        <f t="shared" si="28"/>
        <v>0</v>
      </c>
      <c r="F157" s="1">
        <f t="shared" si="29"/>
        <v>0.2</v>
      </c>
      <c r="G157" s="4">
        <f t="shared" si="30"/>
        <v>0</v>
      </c>
      <c r="H157" s="4">
        <f t="shared" si="31"/>
        <v>-4.6910914536463073</v>
      </c>
      <c r="I157" s="3">
        <f t="shared" si="32"/>
        <v>-268.77974160382365</v>
      </c>
      <c r="J157" s="2">
        <f t="shared" si="33"/>
        <v>-2.1295916736378481E-2</v>
      </c>
      <c r="K157" s="2">
        <f t="shared" si="34"/>
        <v>0.99977321624974391</v>
      </c>
      <c r="L157" s="4">
        <f t="shared" si="35"/>
        <v>6.83263779505979E-2</v>
      </c>
      <c r="M157" s="4">
        <f t="shared" si="36"/>
        <v>0.32359774407583786</v>
      </c>
    </row>
    <row r="158" spans="1:13" x14ac:dyDescent="0.4">
      <c r="A158" s="1">
        <f t="shared" si="26"/>
        <v>7.7999999999999803</v>
      </c>
      <c r="B158" s="1">
        <f t="shared" si="25"/>
        <v>0.2</v>
      </c>
      <c r="C158" s="1">
        <v>0.2</v>
      </c>
      <c r="D158" s="1">
        <f t="shared" si="27"/>
        <v>0</v>
      </c>
      <c r="E158" s="1">
        <f t="shared" si="28"/>
        <v>0</v>
      </c>
      <c r="F158" s="1">
        <f t="shared" si="29"/>
        <v>0.2</v>
      </c>
      <c r="G158" s="4">
        <f t="shared" si="30"/>
        <v>0</v>
      </c>
      <c r="H158" s="4">
        <f t="shared" si="31"/>
        <v>-4.6910914536463073</v>
      </c>
      <c r="I158" s="3">
        <f t="shared" si="32"/>
        <v>-268.77974160382365</v>
      </c>
      <c r="J158" s="2">
        <f t="shared" si="33"/>
        <v>-2.1295916736378481E-2</v>
      </c>
      <c r="K158" s="2">
        <f t="shared" si="34"/>
        <v>0.99977321624974391</v>
      </c>
      <c r="L158" s="4">
        <f t="shared" si="35"/>
        <v>6.8113418783234111E-2</v>
      </c>
      <c r="M158" s="4">
        <f t="shared" si="36"/>
        <v>0.3335954762383353</v>
      </c>
    </row>
    <row r="159" spans="1:13" x14ac:dyDescent="0.4">
      <c r="A159" s="1">
        <f t="shared" si="26"/>
        <v>7.8499999999999801</v>
      </c>
      <c r="B159" s="1">
        <f t="shared" si="25"/>
        <v>0.2</v>
      </c>
      <c r="C159" s="1">
        <v>0.2</v>
      </c>
      <c r="D159" s="1">
        <f t="shared" si="27"/>
        <v>0</v>
      </c>
      <c r="E159" s="1">
        <f t="shared" si="28"/>
        <v>0</v>
      </c>
      <c r="F159" s="1">
        <f t="shared" si="29"/>
        <v>0.2</v>
      </c>
      <c r="G159" s="4">
        <f t="shared" si="30"/>
        <v>0</v>
      </c>
      <c r="H159" s="4">
        <f t="shared" si="31"/>
        <v>-4.6910914536463073</v>
      </c>
      <c r="I159" s="3">
        <f t="shared" si="32"/>
        <v>-268.77974160382365</v>
      </c>
      <c r="J159" s="2">
        <f t="shared" si="33"/>
        <v>-2.1295916736378481E-2</v>
      </c>
      <c r="K159" s="2">
        <f t="shared" si="34"/>
        <v>0.99977321624974391</v>
      </c>
      <c r="L159" s="4">
        <f t="shared" si="35"/>
        <v>6.7900459615870323E-2</v>
      </c>
      <c r="M159" s="4">
        <f t="shared" si="36"/>
        <v>0.34359320840083274</v>
      </c>
    </row>
    <row r="160" spans="1:13" x14ac:dyDescent="0.4">
      <c r="A160" s="1">
        <f t="shared" si="26"/>
        <v>7.8999999999999799</v>
      </c>
      <c r="B160" s="1">
        <f t="shared" si="25"/>
        <v>0.2</v>
      </c>
      <c r="C160" s="1">
        <v>0.2</v>
      </c>
      <c r="D160" s="1">
        <f t="shared" si="27"/>
        <v>0</v>
      </c>
      <c r="E160" s="1">
        <f t="shared" si="28"/>
        <v>0</v>
      </c>
      <c r="F160" s="1">
        <f t="shared" si="29"/>
        <v>0.2</v>
      </c>
      <c r="G160" s="4">
        <f t="shared" si="30"/>
        <v>0</v>
      </c>
      <c r="H160" s="4">
        <f t="shared" si="31"/>
        <v>-4.6910914536463073</v>
      </c>
      <c r="I160" s="3">
        <f t="shared" si="32"/>
        <v>-268.77974160382365</v>
      </c>
      <c r="J160" s="2">
        <f t="shared" si="33"/>
        <v>-2.1295916736378481E-2</v>
      </c>
      <c r="K160" s="2">
        <f t="shared" si="34"/>
        <v>0.99977321624974391</v>
      </c>
      <c r="L160" s="4">
        <f t="shared" si="35"/>
        <v>6.7687500448506535E-2</v>
      </c>
      <c r="M160" s="4">
        <f t="shared" si="36"/>
        <v>0.35359094056333018</v>
      </c>
    </row>
    <row r="161" spans="1:13" x14ac:dyDescent="0.4">
      <c r="A161" s="1">
        <f t="shared" si="26"/>
        <v>7.9499999999999797</v>
      </c>
      <c r="B161" s="1">
        <f t="shared" si="25"/>
        <v>0.2</v>
      </c>
      <c r="C161" s="1">
        <v>0.2</v>
      </c>
      <c r="D161" s="1">
        <f t="shared" si="27"/>
        <v>0</v>
      </c>
      <c r="E161" s="1">
        <f t="shared" si="28"/>
        <v>0</v>
      </c>
      <c r="F161" s="1">
        <f t="shared" si="29"/>
        <v>0.2</v>
      </c>
      <c r="G161" s="4">
        <f t="shared" si="30"/>
        <v>0</v>
      </c>
      <c r="H161" s="4">
        <f t="shared" si="31"/>
        <v>-4.6910914536463073</v>
      </c>
      <c r="I161" s="3">
        <f t="shared" si="32"/>
        <v>-268.77974160382365</v>
      </c>
      <c r="J161" s="2">
        <f t="shared" si="33"/>
        <v>-2.1295916736378481E-2</v>
      </c>
      <c r="K161" s="2">
        <f t="shared" si="34"/>
        <v>0.99977321624974391</v>
      </c>
      <c r="L161" s="4">
        <f t="shared" si="35"/>
        <v>6.7474541281142747E-2</v>
      </c>
      <c r="M161" s="4">
        <f t="shared" si="36"/>
        <v>0.36358867272582762</v>
      </c>
    </row>
    <row r="162" spans="1:13" x14ac:dyDescent="0.4">
      <c r="A162" s="1">
        <f t="shared" si="26"/>
        <v>7.9999999999999796</v>
      </c>
      <c r="B162" s="1">
        <f t="shared" si="25"/>
        <v>0.2</v>
      </c>
      <c r="C162" s="1">
        <v>0.2</v>
      </c>
      <c r="D162" s="1">
        <f t="shared" si="27"/>
        <v>0</v>
      </c>
      <c r="E162" s="1">
        <f t="shared" si="28"/>
        <v>0</v>
      </c>
      <c r="F162" s="1">
        <f t="shared" si="29"/>
        <v>0.2</v>
      </c>
      <c r="G162" s="4">
        <f t="shared" si="30"/>
        <v>0</v>
      </c>
      <c r="H162" s="4">
        <f t="shared" si="31"/>
        <v>-4.6910914536463073</v>
      </c>
      <c r="I162" s="3">
        <f t="shared" si="32"/>
        <v>-268.77974160382365</v>
      </c>
      <c r="J162" s="2">
        <f t="shared" si="33"/>
        <v>-2.1295916736378481E-2</v>
      </c>
      <c r="K162" s="2">
        <f t="shared" si="34"/>
        <v>0.99977321624974391</v>
      </c>
      <c r="L162" s="4">
        <f t="shared" si="35"/>
        <v>6.7261582113778959E-2</v>
      </c>
      <c r="M162" s="4">
        <f t="shared" si="36"/>
        <v>0.37358640488832506</v>
      </c>
    </row>
    <row r="163" spans="1:13" x14ac:dyDescent="0.4">
      <c r="A163" s="1">
        <f t="shared" si="26"/>
        <v>8.0499999999999794</v>
      </c>
      <c r="B163" s="1">
        <f t="shared" si="25"/>
        <v>0.2</v>
      </c>
      <c r="C163" s="1">
        <v>0.2</v>
      </c>
      <c r="D163" s="1">
        <f t="shared" si="27"/>
        <v>0</v>
      </c>
      <c r="E163" s="1">
        <f t="shared" si="28"/>
        <v>0</v>
      </c>
      <c r="F163" s="1">
        <f t="shared" si="29"/>
        <v>0.2</v>
      </c>
      <c r="G163" s="4">
        <f t="shared" si="30"/>
        <v>0</v>
      </c>
      <c r="H163" s="4">
        <f t="shared" si="31"/>
        <v>-4.6910914536463073</v>
      </c>
      <c r="I163" s="3">
        <f t="shared" si="32"/>
        <v>-268.77974160382365</v>
      </c>
      <c r="J163" s="2">
        <f t="shared" si="33"/>
        <v>-2.1295916736378481E-2</v>
      </c>
      <c r="K163" s="2">
        <f t="shared" si="34"/>
        <v>0.99977321624974391</v>
      </c>
      <c r="L163" s="4">
        <f t="shared" si="35"/>
        <v>6.7048622946415171E-2</v>
      </c>
      <c r="M163" s="4">
        <f t="shared" si="36"/>
        <v>0.3835841370508225</v>
      </c>
    </row>
    <row r="164" spans="1:13" x14ac:dyDescent="0.4">
      <c r="A164" s="1">
        <f t="shared" si="26"/>
        <v>8.0999999999999801</v>
      </c>
      <c r="B164" s="1">
        <f t="shared" si="25"/>
        <v>0.2</v>
      </c>
      <c r="C164" s="1">
        <v>0.2</v>
      </c>
      <c r="D164" s="1">
        <f t="shared" si="27"/>
        <v>0</v>
      </c>
      <c r="E164" s="1">
        <f t="shared" si="28"/>
        <v>0</v>
      </c>
      <c r="F164" s="1">
        <f t="shared" si="29"/>
        <v>0.2</v>
      </c>
      <c r="G164" s="4">
        <f t="shared" si="30"/>
        <v>0</v>
      </c>
      <c r="H164" s="4">
        <f t="shared" si="31"/>
        <v>-4.6910914536463073</v>
      </c>
      <c r="I164" s="3">
        <f t="shared" si="32"/>
        <v>-268.77974160382365</v>
      </c>
      <c r="J164" s="2">
        <f t="shared" si="33"/>
        <v>-2.1295916736378481E-2</v>
      </c>
      <c r="K164" s="2">
        <f t="shared" si="34"/>
        <v>0.99977321624974391</v>
      </c>
      <c r="L164" s="4">
        <f t="shared" si="35"/>
        <v>6.6835663779051382E-2</v>
      </c>
      <c r="M164" s="4">
        <f t="shared" si="36"/>
        <v>0.39358186921331995</v>
      </c>
    </row>
    <row r="165" spans="1:13" x14ac:dyDescent="0.4">
      <c r="A165" s="1">
        <f t="shared" si="26"/>
        <v>8.1499999999999808</v>
      </c>
      <c r="B165" s="1">
        <f t="shared" si="25"/>
        <v>0.2</v>
      </c>
      <c r="C165" s="1">
        <v>0.2</v>
      </c>
      <c r="D165" s="1">
        <f t="shared" si="27"/>
        <v>0</v>
      </c>
      <c r="E165" s="1">
        <f t="shared" si="28"/>
        <v>0</v>
      </c>
      <c r="F165" s="1">
        <f t="shared" si="29"/>
        <v>0.2</v>
      </c>
      <c r="G165" s="4">
        <f t="shared" si="30"/>
        <v>0</v>
      </c>
      <c r="H165" s="4">
        <f t="shared" si="31"/>
        <v>-4.6910914536463073</v>
      </c>
      <c r="I165" s="3">
        <f t="shared" si="32"/>
        <v>-268.77974160382365</v>
      </c>
      <c r="J165" s="2">
        <f t="shared" si="33"/>
        <v>-2.1295916736378481E-2</v>
      </c>
      <c r="K165" s="2">
        <f t="shared" si="34"/>
        <v>0.99977321624974391</v>
      </c>
      <c r="L165" s="4">
        <f t="shared" si="35"/>
        <v>6.6622704611687594E-2</v>
      </c>
      <c r="M165" s="4">
        <f t="shared" si="36"/>
        <v>0.40357960137581739</v>
      </c>
    </row>
    <row r="166" spans="1:13" x14ac:dyDescent="0.4">
      <c r="A166" s="1">
        <f t="shared" si="26"/>
        <v>8.1999999999999815</v>
      </c>
      <c r="B166" s="1">
        <f t="shared" si="25"/>
        <v>0.2</v>
      </c>
      <c r="C166" s="1">
        <v>0.2</v>
      </c>
      <c r="D166" s="1">
        <f t="shared" si="27"/>
        <v>0</v>
      </c>
      <c r="E166" s="1">
        <f t="shared" si="28"/>
        <v>0</v>
      </c>
      <c r="F166" s="1">
        <f t="shared" si="29"/>
        <v>0.2</v>
      </c>
      <c r="G166" s="4">
        <f t="shared" si="30"/>
        <v>0</v>
      </c>
      <c r="H166" s="4">
        <f t="shared" si="31"/>
        <v>-4.6910914536463073</v>
      </c>
      <c r="I166" s="3">
        <f t="shared" si="32"/>
        <v>-268.77974160382365</v>
      </c>
      <c r="J166" s="2">
        <f t="shared" si="33"/>
        <v>-2.1295916736378481E-2</v>
      </c>
      <c r="K166" s="2">
        <f t="shared" si="34"/>
        <v>0.99977321624974391</v>
      </c>
      <c r="L166" s="4">
        <f t="shared" si="35"/>
        <v>6.6409745444323806E-2</v>
      </c>
      <c r="M166" s="4">
        <f t="shared" si="36"/>
        <v>0.41357733353831483</v>
      </c>
    </row>
    <row r="167" spans="1:13" x14ac:dyDescent="0.4">
      <c r="A167" s="1">
        <f t="shared" si="26"/>
        <v>8.2499999999999822</v>
      </c>
      <c r="B167" s="1">
        <f t="shared" si="25"/>
        <v>0.2</v>
      </c>
      <c r="C167" s="1">
        <v>0.2</v>
      </c>
      <c r="D167" s="1">
        <f t="shared" si="27"/>
        <v>0</v>
      </c>
      <c r="E167" s="1">
        <f t="shared" si="28"/>
        <v>0</v>
      </c>
      <c r="F167" s="1">
        <f t="shared" si="29"/>
        <v>0.2</v>
      </c>
      <c r="G167" s="4">
        <f t="shared" si="30"/>
        <v>0</v>
      </c>
      <c r="H167" s="4">
        <f t="shared" si="31"/>
        <v>-4.6910914536463073</v>
      </c>
      <c r="I167" s="3">
        <f t="shared" si="32"/>
        <v>-268.77974160382365</v>
      </c>
      <c r="J167" s="2">
        <f t="shared" si="33"/>
        <v>-2.1295916736378481E-2</v>
      </c>
      <c r="K167" s="2">
        <f t="shared" si="34"/>
        <v>0.99977321624974391</v>
      </c>
      <c r="L167" s="4">
        <f t="shared" si="35"/>
        <v>6.6196786276960018E-2</v>
      </c>
      <c r="M167" s="4">
        <f t="shared" si="36"/>
        <v>0.42357506570081227</v>
      </c>
    </row>
    <row r="168" spans="1:13" x14ac:dyDescent="0.4">
      <c r="A168" s="1">
        <f t="shared" si="26"/>
        <v>8.2999999999999829</v>
      </c>
      <c r="B168" s="1">
        <f t="shared" si="25"/>
        <v>0.2</v>
      </c>
      <c r="C168" s="1">
        <v>0.2</v>
      </c>
      <c r="D168" s="1">
        <f t="shared" si="27"/>
        <v>0</v>
      </c>
      <c r="E168" s="1">
        <f t="shared" si="28"/>
        <v>0</v>
      </c>
      <c r="F168" s="1">
        <f t="shared" si="29"/>
        <v>0.2</v>
      </c>
      <c r="G168" s="4">
        <f t="shared" si="30"/>
        <v>0</v>
      </c>
      <c r="H168" s="4">
        <f t="shared" si="31"/>
        <v>-4.6910914536463073</v>
      </c>
      <c r="I168" s="3">
        <f t="shared" si="32"/>
        <v>-268.77974160382365</v>
      </c>
      <c r="J168" s="2">
        <f t="shared" si="33"/>
        <v>-2.1295916736378481E-2</v>
      </c>
      <c r="K168" s="2">
        <f t="shared" si="34"/>
        <v>0.99977321624974391</v>
      </c>
      <c r="L168" s="4">
        <f t="shared" si="35"/>
        <v>6.598382710959623E-2</v>
      </c>
      <c r="M168" s="4">
        <f t="shared" si="36"/>
        <v>0.43357279786330971</v>
      </c>
    </row>
    <row r="169" spans="1:13" x14ac:dyDescent="0.4">
      <c r="A169" s="1">
        <f t="shared" si="26"/>
        <v>8.3499999999999837</v>
      </c>
      <c r="B169" s="1">
        <f t="shared" si="25"/>
        <v>0.2</v>
      </c>
      <c r="C169" s="1">
        <v>0.2</v>
      </c>
      <c r="D169" s="1">
        <f t="shared" si="27"/>
        <v>0</v>
      </c>
      <c r="E169" s="1">
        <f t="shared" si="28"/>
        <v>0</v>
      </c>
      <c r="F169" s="1">
        <f t="shared" si="29"/>
        <v>0.2</v>
      </c>
      <c r="G169" s="4">
        <f t="shared" si="30"/>
        <v>0</v>
      </c>
      <c r="H169" s="4">
        <f t="shared" si="31"/>
        <v>-4.6910914536463073</v>
      </c>
      <c r="I169" s="3">
        <f t="shared" si="32"/>
        <v>-268.77974160382365</v>
      </c>
      <c r="J169" s="2">
        <f t="shared" si="33"/>
        <v>-2.1295916736378481E-2</v>
      </c>
      <c r="K169" s="2">
        <f t="shared" si="34"/>
        <v>0.99977321624974391</v>
      </c>
      <c r="L169" s="4">
        <f t="shared" si="35"/>
        <v>6.5770867942232442E-2</v>
      </c>
      <c r="M169" s="4">
        <f t="shared" si="36"/>
        <v>0.44357053002580715</v>
      </c>
    </row>
    <row r="170" spans="1:13" x14ac:dyDescent="0.4">
      <c r="A170" s="1">
        <f t="shared" si="26"/>
        <v>8.3999999999999844</v>
      </c>
      <c r="B170" s="1">
        <f t="shared" si="25"/>
        <v>0.2</v>
      </c>
      <c r="C170" s="1">
        <v>0.2</v>
      </c>
      <c r="D170" s="1">
        <f t="shared" si="27"/>
        <v>0</v>
      </c>
      <c r="E170" s="1">
        <f t="shared" si="28"/>
        <v>0</v>
      </c>
      <c r="F170" s="1">
        <f t="shared" si="29"/>
        <v>0.2</v>
      </c>
      <c r="G170" s="4">
        <f t="shared" si="30"/>
        <v>0</v>
      </c>
      <c r="H170" s="4">
        <f t="shared" si="31"/>
        <v>-4.6910914536463073</v>
      </c>
      <c r="I170" s="3">
        <f t="shared" si="32"/>
        <v>-268.77974160382365</v>
      </c>
      <c r="J170" s="2">
        <f t="shared" si="33"/>
        <v>-2.1295916736378481E-2</v>
      </c>
      <c r="K170" s="2">
        <f t="shared" si="34"/>
        <v>0.99977321624974391</v>
      </c>
      <c r="L170" s="4">
        <f t="shared" si="35"/>
        <v>6.5557908774868653E-2</v>
      </c>
      <c r="M170" s="4">
        <f t="shared" si="36"/>
        <v>0.45356826218830459</v>
      </c>
    </row>
    <row r="171" spans="1:13" x14ac:dyDescent="0.4">
      <c r="A171" s="1">
        <f t="shared" si="26"/>
        <v>8.4499999999999851</v>
      </c>
      <c r="B171" s="1">
        <f t="shared" si="25"/>
        <v>0.2</v>
      </c>
      <c r="C171" s="1">
        <v>0.2</v>
      </c>
      <c r="D171" s="1">
        <f t="shared" si="27"/>
        <v>0</v>
      </c>
      <c r="E171" s="1">
        <f t="shared" si="28"/>
        <v>0</v>
      </c>
      <c r="F171" s="1">
        <f t="shared" si="29"/>
        <v>0.2</v>
      </c>
      <c r="G171" s="4">
        <f t="shared" si="30"/>
        <v>0</v>
      </c>
      <c r="H171" s="4">
        <f t="shared" si="31"/>
        <v>-4.6910914536463073</v>
      </c>
      <c r="I171" s="3">
        <f t="shared" si="32"/>
        <v>-268.77974160382365</v>
      </c>
      <c r="J171" s="2">
        <f t="shared" si="33"/>
        <v>-2.1295916736378481E-2</v>
      </c>
      <c r="K171" s="2">
        <f t="shared" si="34"/>
        <v>0.99977321624974391</v>
      </c>
      <c r="L171" s="4">
        <f t="shared" si="35"/>
        <v>6.5344949607504865E-2</v>
      </c>
      <c r="M171" s="4">
        <f t="shared" si="36"/>
        <v>0.46356599435080204</v>
      </c>
    </row>
    <row r="172" spans="1:13" x14ac:dyDescent="0.4">
      <c r="A172" s="1">
        <f t="shared" si="26"/>
        <v>8.4999999999999858</v>
      </c>
      <c r="B172" s="1">
        <f t="shared" si="25"/>
        <v>0.2</v>
      </c>
      <c r="C172" s="1">
        <v>0.2</v>
      </c>
      <c r="D172" s="1">
        <f t="shared" si="27"/>
        <v>0</v>
      </c>
      <c r="E172" s="1">
        <f t="shared" si="28"/>
        <v>0</v>
      </c>
      <c r="F172" s="1">
        <f t="shared" si="29"/>
        <v>0.2</v>
      </c>
      <c r="G172" s="4">
        <f t="shared" si="30"/>
        <v>0</v>
      </c>
      <c r="H172" s="4">
        <f t="shared" si="31"/>
        <v>-4.6910914536463073</v>
      </c>
      <c r="I172" s="3">
        <f t="shared" si="32"/>
        <v>-268.77974160382365</v>
      </c>
      <c r="J172" s="2">
        <f t="shared" si="33"/>
        <v>-2.1295916736378481E-2</v>
      </c>
      <c r="K172" s="2">
        <f t="shared" si="34"/>
        <v>0.99977321624974391</v>
      </c>
      <c r="L172" s="4">
        <f t="shared" si="35"/>
        <v>6.5131990440141077E-2</v>
      </c>
      <c r="M172" s="4">
        <f t="shared" si="36"/>
        <v>0.47356372651329948</v>
      </c>
    </row>
    <row r="173" spans="1:13" x14ac:dyDescent="0.4">
      <c r="A173" s="1">
        <f t="shared" si="26"/>
        <v>8.5499999999999865</v>
      </c>
      <c r="B173" s="1">
        <f t="shared" si="25"/>
        <v>0.2</v>
      </c>
      <c r="C173" s="1">
        <v>0.2</v>
      </c>
      <c r="D173" s="1">
        <f t="shared" si="27"/>
        <v>0</v>
      </c>
      <c r="E173" s="1">
        <f t="shared" si="28"/>
        <v>0</v>
      </c>
      <c r="F173" s="1">
        <f t="shared" si="29"/>
        <v>0.2</v>
      </c>
      <c r="G173" s="4">
        <f t="shared" si="30"/>
        <v>0</v>
      </c>
      <c r="H173" s="4">
        <f t="shared" si="31"/>
        <v>-4.6910914536463073</v>
      </c>
      <c r="I173" s="3">
        <f t="shared" si="32"/>
        <v>-268.77974160382365</v>
      </c>
      <c r="J173" s="2">
        <f t="shared" si="33"/>
        <v>-2.1295916736378481E-2</v>
      </c>
      <c r="K173" s="2">
        <f t="shared" si="34"/>
        <v>0.99977321624974391</v>
      </c>
      <c r="L173" s="4">
        <f t="shared" si="35"/>
        <v>6.4919031272777289E-2</v>
      </c>
      <c r="M173" s="4">
        <f t="shared" si="36"/>
        <v>0.48356145867579692</v>
      </c>
    </row>
    <row r="174" spans="1:13" x14ac:dyDescent="0.4">
      <c r="A174" s="1">
        <f t="shared" si="26"/>
        <v>8.5999999999999872</v>
      </c>
      <c r="B174" s="1">
        <f t="shared" si="25"/>
        <v>0.2</v>
      </c>
      <c r="C174" s="1">
        <v>0.2</v>
      </c>
      <c r="D174" s="1">
        <f t="shared" si="27"/>
        <v>0</v>
      </c>
      <c r="E174" s="1">
        <f t="shared" si="28"/>
        <v>0</v>
      </c>
      <c r="F174" s="1">
        <f t="shared" si="29"/>
        <v>0.2</v>
      </c>
      <c r="G174" s="4">
        <f t="shared" si="30"/>
        <v>0</v>
      </c>
      <c r="H174" s="4">
        <f t="shared" si="31"/>
        <v>-4.6910914536463073</v>
      </c>
      <c r="I174" s="3">
        <f t="shared" si="32"/>
        <v>-268.77974160382365</v>
      </c>
      <c r="J174" s="2">
        <f t="shared" si="33"/>
        <v>-2.1295916736378481E-2</v>
      </c>
      <c r="K174" s="2">
        <f t="shared" si="34"/>
        <v>0.99977321624974391</v>
      </c>
      <c r="L174" s="4">
        <f t="shared" si="35"/>
        <v>6.4706072105413501E-2</v>
      </c>
      <c r="M174" s="4">
        <f t="shared" si="36"/>
        <v>0.49355919083829436</v>
      </c>
    </row>
    <row r="175" spans="1:13" x14ac:dyDescent="0.4">
      <c r="A175" s="1">
        <f t="shared" si="26"/>
        <v>8.6499999999999879</v>
      </c>
      <c r="B175" s="1">
        <f t="shared" si="25"/>
        <v>0.2</v>
      </c>
      <c r="C175" s="1">
        <v>0.2</v>
      </c>
      <c r="D175" s="1">
        <f t="shared" si="27"/>
        <v>0</v>
      </c>
      <c r="E175" s="1">
        <f t="shared" si="28"/>
        <v>0</v>
      </c>
      <c r="F175" s="1">
        <f t="shared" si="29"/>
        <v>0.2</v>
      </c>
      <c r="G175" s="4">
        <f t="shared" si="30"/>
        <v>0</v>
      </c>
      <c r="H175" s="4">
        <f t="shared" si="31"/>
        <v>-4.6910914536463073</v>
      </c>
      <c r="I175" s="3">
        <f t="shared" si="32"/>
        <v>-268.77974160382365</v>
      </c>
      <c r="J175" s="2">
        <f t="shared" si="33"/>
        <v>-2.1295916736378481E-2</v>
      </c>
      <c r="K175" s="2">
        <f t="shared" si="34"/>
        <v>0.99977321624974391</v>
      </c>
      <c r="L175" s="4">
        <f t="shared" si="35"/>
        <v>6.4493112938049713E-2</v>
      </c>
      <c r="M175" s="4">
        <f t="shared" si="36"/>
        <v>0.5035569230007918</v>
      </c>
    </row>
    <row r="176" spans="1:13" x14ac:dyDescent="0.4">
      <c r="A176" s="1">
        <f t="shared" si="26"/>
        <v>8.6999999999999886</v>
      </c>
      <c r="B176" s="1">
        <f t="shared" si="25"/>
        <v>0.2</v>
      </c>
      <c r="C176" s="1">
        <v>0.2</v>
      </c>
      <c r="D176" s="1">
        <f t="shared" si="27"/>
        <v>0</v>
      </c>
      <c r="E176" s="1">
        <f t="shared" si="28"/>
        <v>0</v>
      </c>
      <c r="F176" s="1">
        <f t="shared" si="29"/>
        <v>0.2</v>
      </c>
      <c r="G176" s="4">
        <f t="shared" si="30"/>
        <v>0</v>
      </c>
      <c r="H176" s="4">
        <f t="shared" si="31"/>
        <v>-4.6910914536463073</v>
      </c>
      <c r="I176" s="3">
        <f t="shared" si="32"/>
        <v>-268.77974160382365</v>
      </c>
      <c r="J176" s="2">
        <f t="shared" si="33"/>
        <v>-2.1295916736378481E-2</v>
      </c>
      <c r="K176" s="2">
        <f t="shared" si="34"/>
        <v>0.99977321624974391</v>
      </c>
      <c r="L176" s="4">
        <f t="shared" si="35"/>
        <v>6.4280153770685924E-2</v>
      </c>
      <c r="M176" s="4">
        <f t="shared" si="36"/>
        <v>0.51355465516328924</v>
      </c>
    </row>
    <row r="177" spans="1:13" x14ac:dyDescent="0.4">
      <c r="A177" s="1">
        <f t="shared" si="26"/>
        <v>8.7499999999999893</v>
      </c>
      <c r="B177" s="1">
        <f t="shared" si="25"/>
        <v>0.2</v>
      </c>
      <c r="C177" s="1">
        <v>0.2</v>
      </c>
      <c r="D177" s="1">
        <f t="shared" si="27"/>
        <v>0</v>
      </c>
      <c r="E177" s="1">
        <f t="shared" si="28"/>
        <v>0</v>
      </c>
      <c r="F177" s="1">
        <f t="shared" si="29"/>
        <v>0.2</v>
      </c>
      <c r="G177" s="4">
        <f t="shared" si="30"/>
        <v>0</v>
      </c>
      <c r="H177" s="4">
        <f t="shared" si="31"/>
        <v>-4.6910914536463073</v>
      </c>
      <c r="I177" s="3">
        <f t="shared" si="32"/>
        <v>-268.77974160382365</v>
      </c>
      <c r="J177" s="2">
        <f t="shared" si="33"/>
        <v>-2.1295916736378481E-2</v>
      </c>
      <c r="K177" s="2">
        <f t="shared" si="34"/>
        <v>0.99977321624974391</v>
      </c>
      <c r="L177" s="4">
        <f t="shared" si="35"/>
        <v>6.4067194603322136E-2</v>
      </c>
      <c r="M177" s="4">
        <f t="shared" si="36"/>
        <v>0.52355238732578668</v>
      </c>
    </row>
    <row r="178" spans="1:13" x14ac:dyDescent="0.4">
      <c r="A178" s="1">
        <f t="shared" si="26"/>
        <v>8.7999999999999901</v>
      </c>
      <c r="B178" s="1">
        <f t="shared" si="25"/>
        <v>0.2</v>
      </c>
      <c r="C178" s="1">
        <v>0.2</v>
      </c>
      <c r="D178" s="1">
        <f t="shared" si="27"/>
        <v>0</v>
      </c>
      <c r="E178" s="1">
        <f t="shared" si="28"/>
        <v>0</v>
      </c>
      <c r="F178" s="1">
        <f t="shared" si="29"/>
        <v>0.2</v>
      </c>
      <c r="G178" s="4">
        <f t="shared" si="30"/>
        <v>0</v>
      </c>
      <c r="H178" s="4">
        <f t="shared" si="31"/>
        <v>-4.6910914536463073</v>
      </c>
      <c r="I178" s="3">
        <f t="shared" si="32"/>
        <v>-268.77974160382365</v>
      </c>
      <c r="J178" s="2">
        <f t="shared" si="33"/>
        <v>-2.1295916736378481E-2</v>
      </c>
      <c r="K178" s="2">
        <f t="shared" si="34"/>
        <v>0.99977321624974391</v>
      </c>
      <c r="L178" s="4">
        <f t="shared" si="35"/>
        <v>6.3854235435958348E-2</v>
      </c>
      <c r="M178" s="4">
        <f t="shared" si="36"/>
        <v>0.53355011948828412</v>
      </c>
    </row>
    <row r="179" spans="1:13" x14ac:dyDescent="0.4">
      <c r="A179" s="1">
        <f t="shared" si="26"/>
        <v>8.8499999999999908</v>
      </c>
      <c r="B179" s="1">
        <f t="shared" si="25"/>
        <v>0.2</v>
      </c>
      <c r="C179" s="1">
        <v>0.2</v>
      </c>
      <c r="D179" s="1">
        <f t="shared" si="27"/>
        <v>0</v>
      </c>
      <c r="E179" s="1">
        <f t="shared" si="28"/>
        <v>0</v>
      </c>
      <c r="F179" s="1">
        <f t="shared" si="29"/>
        <v>0.2</v>
      </c>
      <c r="G179" s="4">
        <f t="shared" si="30"/>
        <v>0</v>
      </c>
      <c r="H179" s="4">
        <f t="shared" si="31"/>
        <v>-4.6910914536463073</v>
      </c>
      <c r="I179" s="3">
        <f t="shared" si="32"/>
        <v>-268.77974160382365</v>
      </c>
      <c r="J179" s="2">
        <f t="shared" si="33"/>
        <v>-2.1295916736378481E-2</v>
      </c>
      <c r="K179" s="2">
        <f t="shared" si="34"/>
        <v>0.99977321624974391</v>
      </c>
      <c r="L179" s="4">
        <f t="shared" si="35"/>
        <v>6.364127626859456E-2</v>
      </c>
      <c r="M179" s="4">
        <f t="shared" si="36"/>
        <v>0.54354785165078157</v>
      </c>
    </row>
    <row r="180" spans="1:13" x14ac:dyDescent="0.4">
      <c r="A180" s="1">
        <f t="shared" si="26"/>
        <v>8.8999999999999915</v>
      </c>
      <c r="B180" s="1">
        <f t="shared" si="25"/>
        <v>0.2</v>
      </c>
      <c r="C180" s="1">
        <v>0.2</v>
      </c>
      <c r="D180" s="1">
        <f t="shared" si="27"/>
        <v>0</v>
      </c>
      <c r="E180" s="1">
        <f t="shared" si="28"/>
        <v>0</v>
      </c>
      <c r="F180" s="1">
        <f t="shared" si="29"/>
        <v>0.2</v>
      </c>
      <c r="G180" s="4">
        <f t="shared" si="30"/>
        <v>0</v>
      </c>
      <c r="H180" s="4">
        <f t="shared" si="31"/>
        <v>-4.6910914536463073</v>
      </c>
      <c r="I180" s="3">
        <f t="shared" si="32"/>
        <v>-268.77974160382365</v>
      </c>
      <c r="J180" s="2">
        <f t="shared" si="33"/>
        <v>-2.1295916736378481E-2</v>
      </c>
      <c r="K180" s="2">
        <f t="shared" si="34"/>
        <v>0.99977321624974391</v>
      </c>
      <c r="L180" s="4">
        <f t="shared" si="35"/>
        <v>6.3428317101230772E-2</v>
      </c>
      <c r="M180" s="4">
        <f t="shared" si="36"/>
        <v>0.55354558381327901</v>
      </c>
    </row>
    <row r="181" spans="1:13" x14ac:dyDescent="0.4">
      <c r="A181" s="1">
        <f t="shared" si="26"/>
        <v>8.9499999999999922</v>
      </c>
      <c r="B181" s="1">
        <f t="shared" ref="B181:B244" si="37">B180</f>
        <v>0.2</v>
      </c>
      <c r="C181" s="1">
        <v>0.2</v>
      </c>
      <c r="D181" s="1">
        <f t="shared" si="27"/>
        <v>0</v>
      </c>
      <c r="E181" s="1">
        <f t="shared" si="28"/>
        <v>0</v>
      </c>
      <c r="F181" s="1">
        <f t="shared" si="29"/>
        <v>0.2</v>
      </c>
      <c r="G181" s="4">
        <f t="shared" si="30"/>
        <v>0</v>
      </c>
      <c r="H181" s="4">
        <f t="shared" si="31"/>
        <v>-4.6910914536463073</v>
      </c>
      <c r="I181" s="3">
        <f t="shared" si="32"/>
        <v>-268.77974160382365</v>
      </c>
      <c r="J181" s="2">
        <f t="shared" si="33"/>
        <v>-2.1295916736378481E-2</v>
      </c>
      <c r="K181" s="2">
        <f t="shared" si="34"/>
        <v>0.99977321624974391</v>
      </c>
      <c r="L181" s="4">
        <f t="shared" si="35"/>
        <v>6.3215357933866984E-2</v>
      </c>
      <c r="M181" s="4">
        <f t="shared" si="36"/>
        <v>0.56354331597577645</v>
      </c>
    </row>
    <row r="182" spans="1:13" x14ac:dyDescent="0.4">
      <c r="A182" s="1">
        <f t="shared" si="26"/>
        <v>8.9999999999999929</v>
      </c>
      <c r="B182" s="1">
        <f t="shared" si="37"/>
        <v>0.2</v>
      </c>
      <c r="C182" s="1">
        <v>0.2</v>
      </c>
      <c r="D182" s="1">
        <f t="shared" si="27"/>
        <v>0</v>
      </c>
      <c r="E182" s="1">
        <f t="shared" si="28"/>
        <v>0</v>
      </c>
      <c r="F182" s="1">
        <f t="shared" si="29"/>
        <v>0.2</v>
      </c>
      <c r="G182" s="4">
        <f t="shared" si="30"/>
        <v>0</v>
      </c>
      <c r="H182" s="4">
        <f t="shared" si="31"/>
        <v>-4.6910914536463073</v>
      </c>
      <c r="I182" s="3">
        <f t="shared" si="32"/>
        <v>-268.77974160382365</v>
      </c>
      <c r="J182" s="2">
        <f t="shared" si="33"/>
        <v>-2.1295916736378481E-2</v>
      </c>
      <c r="K182" s="2">
        <f t="shared" si="34"/>
        <v>0.99977321624974391</v>
      </c>
      <c r="L182" s="4">
        <f t="shared" si="35"/>
        <v>6.3002398766503195E-2</v>
      </c>
      <c r="M182" s="4">
        <f t="shared" si="36"/>
        <v>0.57354104813827389</v>
      </c>
    </row>
    <row r="183" spans="1:13" x14ac:dyDescent="0.4">
      <c r="A183" s="1">
        <f t="shared" si="26"/>
        <v>9.0499999999999936</v>
      </c>
      <c r="B183" s="1">
        <f t="shared" si="37"/>
        <v>0.2</v>
      </c>
      <c r="C183" s="1">
        <v>0.2</v>
      </c>
      <c r="D183" s="1">
        <f t="shared" si="27"/>
        <v>0</v>
      </c>
      <c r="E183" s="1">
        <f t="shared" si="28"/>
        <v>0</v>
      </c>
      <c r="F183" s="1">
        <f t="shared" si="29"/>
        <v>0.2</v>
      </c>
      <c r="G183" s="4">
        <f t="shared" si="30"/>
        <v>0</v>
      </c>
      <c r="H183" s="4">
        <f t="shared" si="31"/>
        <v>-4.6910914536463073</v>
      </c>
      <c r="I183" s="3">
        <f t="shared" si="32"/>
        <v>-268.77974160382365</v>
      </c>
      <c r="J183" s="2">
        <f t="shared" si="33"/>
        <v>-2.1295916736378481E-2</v>
      </c>
      <c r="K183" s="2">
        <f t="shared" si="34"/>
        <v>0.99977321624974391</v>
      </c>
      <c r="L183" s="4">
        <f t="shared" si="35"/>
        <v>6.2789439599139407E-2</v>
      </c>
      <c r="M183" s="4">
        <f t="shared" si="36"/>
        <v>0.58353878030077133</v>
      </c>
    </row>
    <row r="184" spans="1:13" x14ac:dyDescent="0.4">
      <c r="A184" s="1">
        <f t="shared" si="26"/>
        <v>9.0999999999999943</v>
      </c>
      <c r="B184" s="1">
        <f t="shared" si="37"/>
        <v>0.2</v>
      </c>
      <c r="C184" s="1">
        <v>0.2</v>
      </c>
      <c r="D184" s="1">
        <f t="shared" si="27"/>
        <v>0</v>
      </c>
      <c r="E184" s="1">
        <f t="shared" si="28"/>
        <v>0</v>
      </c>
      <c r="F184" s="1">
        <f t="shared" si="29"/>
        <v>0.2</v>
      </c>
      <c r="G184" s="4">
        <f t="shared" si="30"/>
        <v>0</v>
      </c>
      <c r="H184" s="4">
        <f t="shared" si="31"/>
        <v>-4.6910914536463073</v>
      </c>
      <c r="I184" s="3">
        <f t="shared" si="32"/>
        <v>-268.77974160382365</v>
      </c>
      <c r="J184" s="2">
        <f t="shared" si="33"/>
        <v>-2.1295916736378481E-2</v>
      </c>
      <c r="K184" s="2">
        <f t="shared" si="34"/>
        <v>0.99977321624974391</v>
      </c>
      <c r="L184" s="4">
        <f t="shared" si="35"/>
        <v>6.2576480431775619E-2</v>
      </c>
      <c r="M184" s="4">
        <f t="shared" si="36"/>
        <v>0.59353651246326877</v>
      </c>
    </row>
    <row r="185" spans="1:13" x14ac:dyDescent="0.4">
      <c r="A185" s="1">
        <f t="shared" si="26"/>
        <v>9.149999999999995</v>
      </c>
      <c r="B185" s="1">
        <f t="shared" si="37"/>
        <v>0.2</v>
      </c>
      <c r="C185" s="1">
        <v>0.2</v>
      </c>
      <c r="D185" s="1">
        <f t="shared" si="27"/>
        <v>0</v>
      </c>
      <c r="E185" s="1">
        <f t="shared" si="28"/>
        <v>0</v>
      </c>
      <c r="F185" s="1">
        <f t="shared" si="29"/>
        <v>0.2</v>
      </c>
      <c r="G185" s="4">
        <f t="shared" si="30"/>
        <v>0</v>
      </c>
      <c r="H185" s="4">
        <f t="shared" si="31"/>
        <v>-4.6910914536463073</v>
      </c>
      <c r="I185" s="3">
        <f t="shared" si="32"/>
        <v>-268.77974160382365</v>
      </c>
      <c r="J185" s="2">
        <f t="shared" si="33"/>
        <v>-2.1295916736378481E-2</v>
      </c>
      <c r="K185" s="2">
        <f t="shared" si="34"/>
        <v>0.99977321624974391</v>
      </c>
      <c r="L185" s="4">
        <f t="shared" si="35"/>
        <v>6.2363521264411831E-2</v>
      </c>
      <c r="M185" s="4">
        <f t="shared" si="36"/>
        <v>0.60353424462576621</v>
      </c>
    </row>
    <row r="186" spans="1:13" x14ac:dyDescent="0.4">
      <c r="A186" s="1">
        <f t="shared" si="26"/>
        <v>9.1999999999999957</v>
      </c>
      <c r="B186" s="1">
        <f t="shared" si="37"/>
        <v>0.2</v>
      </c>
      <c r="C186" s="1">
        <v>0.2</v>
      </c>
      <c r="D186" s="1">
        <f t="shared" si="27"/>
        <v>0</v>
      </c>
      <c r="E186" s="1">
        <f t="shared" si="28"/>
        <v>0</v>
      </c>
      <c r="F186" s="1">
        <f t="shared" si="29"/>
        <v>0.2</v>
      </c>
      <c r="G186" s="4">
        <f t="shared" si="30"/>
        <v>0</v>
      </c>
      <c r="H186" s="4">
        <f t="shared" si="31"/>
        <v>-4.6910914536463073</v>
      </c>
      <c r="I186" s="3">
        <f t="shared" si="32"/>
        <v>-268.77974160382365</v>
      </c>
      <c r="J186" s="2">
        <f t="shared" si="33"/>
        <v>-2.1295916736378481E-2</v>
      </c>
      <c r="K186" s="2">
        <f t="shared" si="34"/>
        <v>0.99977321624974391</v>
      </c>
      <c r="L186" s="4">
        <f t="shared" si="35"/>
        <v>6.2150562097048043E-2</v>
      </c>
      <c r="M186" s="4">
        <f t="shared" si="36"/>
        <v>0.61353197678826366</v>
      </c>
    </row>
    <row r="187" spans="1:13" x14ac:dyDescent="0.4">
      <c r="A187" s="1">
        <f t="shared" si="26"/>
        <v>9.2499999999999964</v>
      </c>
      <c r="B187" s="1">
        <f t="shared" si="37"/>
        <v>0.2</v>
      </c>
      <c r="C187" s="1">
        <v>0.2</v>
      </c>
      <c r="D187" s="1">
        <f t="shared" si="27"/>
        <v>0</v>
      </c>
      <c r="E187" s="1">
        <f t="shared" si="28"/>
        <v>0</v>
      </c>
      <c r="F187" s="1">
        <f t="shared" si="29"/>
        <v>0.2</v>
      </c>
      <c r="G187" s="4">
        <f t="shared" si="30"/>
        <v>0</v>
      </c>
      <c r="H187" s="4">
        <f t="shared" si="31"/>
        <v>-4.6910914536463073</v>
      </c>
      <c r="I187" s="3">
        <f t="shared" si="32"/>
        <v>-268.77974160382365</v>
      </c>
      <c r="J187" s="2">
        <f t="shared" si="33"/>
        <v>-2.1295916736378481E-2</v>
      </c>
      <c r="K187" s="2">
        <f t="shared" si="34"/>
        <v>0.99977321624974391</v>
      </c>
      <c r="L187" s="4">
        <f t="shared" si="35"/>
        <v>6.1937602929684255E-2</v>
      </c>
      <c r="M187" s="4">
        <f t="shared" si="36"/>
        <v>0.6235297089507611</v>
      </c>
    </row>
    <row r="188" spans="1:13" x14ac:dyDescent="0.4">
      <c r="A188" s="1">
        <f t="shared" si="26"/>
        <v>9.2999999999999972</v>
      </c>
      <c r="B188" s="1">
        <f t="shared" si="37"/>
        <v>0.2</v>
      </c>
      <c r="C188" s="1">
        <v>0.2</v>
      </c>
      <c r="D188" s="1">
        <f t="shared" si="27"/>
        <v>0</v>
      </c>
      <c r="E188" s="1">
        <f t="shared" si="28"/>
        <v>0</v>
      </c>
      <c r="F188" s="1">
        <f t="shared" si="29"/>
        <v>0.2</v>
      </c>
      <c r="G188" s="4">
        <f t="shared" si="30"/>
        <v>0</v>
      </c>
      <c r="H188" s="4">
        <f t="shared" si="31"/>
        <v>-4.6910914536463073</v>
      </c>
      <c r="I188" s="3">
        <f t="shared" si="32"/>
        <v>-268.77974160382365</v>
      </c>
      <c r="J188" s="2">
        <f t="shared" si="33"/>
        <v>-2.1295916736378481E-2</v>
      </c>
      <c r="K188" s="2">
        <f t="shared" si="34"/>
        <v>0.99977321624974391</v>
      </c>
      <c r="L188" s="4">
        <f t="shared" si="35"/>
        <v>6.1724643762320466E-2</v>
      </c>
      <c r="M188" s="4">
        <f t="shared" si="36"/>
        <v>0.63352744111325854</v>
      </c>
    </row>
    <row r="189" spans="1:13" x14ac:dyDescent="0.4">
      <c r="A189" s="1">
        <f t="shared" si="26"/>
        <v>9.3499999999999979</v>
      </c>
      <c r="B189" s="1">
        <f t="shared" si="37"/>
        <v>0.2</v>
      </c>
      <c r="C189" s="1">
        <v>0.2</v>
      </c>
      <c r="D189" s="1">
        <f t="shared" si="27"/>
        <v>0</v>
      </c>
      <c r="E189" s="1">
        <f t="shared" si="28"/>
        <v>0</v>
      </c>
      <c r="F189" s="1">
        <f t="shared" si="29"/>
        <v>0.2</v>
      </c>
      <c r="G189" s="4">
        <f t="shared" si="30"/>
        <v>0</v>
      </c>
      <c r="H189" s="4">
        <f t="shared" si="31"/>
        <v>-4.6910914536463073</v>
      </c>
      <c r="I189" s="3">
        <f t="shared" si="32"/>
        <v>-268.77974160382365</v>
      </c>
      <c r="J189" s="2">
        <f t="shared" si="33"/>
        <v>-2.1295916736378481E-2</v>
      </c>
      <c r="K189" s="2">
        <f t="shared" si="34"/>
        <v>0.99977321624974391</v>
      </c>
      <c r="L189" s="4">
        <f t="shared" si="35"/>
        <v>6.1511684594956678E-2</v>
      </c>
      <c r="M189" s="4">
        <f t="shared" si="36"/>
        <v>0.64352517327575598</v>
      </c>
    </row>
    <row r="190" spans="1:13" x14ac:dyDescent="0.4">
      <c r="A190" s="1">
        <f t="shared" si="26"/>
        <v>9.3999999999999986</v>
      </c>
      <c r="B190" s="1">
        <f t="shared" si="37"/>
        <v>0.2</v>
      </c>
      <c r="C190" s="1">
        <v>0.2</v>
      </c>
      <c r="D190" s="1">
        <f t="shared" si="27"/>
        <v>0</v>
      </c>
      <c r="E190" s="1">
        <f t="shared" si="28"/>
        <v>0</v>
      </c>
      <c r="F190" s="1">
        <f t="shared" si="29"/>
        <v>0.2</v>
      </c>
      <c r="G190" s="4">
        <f t="shared" si="30"/>
        <v>0</v>
      </c>
      <c r="H190" s="4">
        <f t="shared" si="31"/>
        <v>-4.6910914536463073</v>
      </c>
      <c r="I190" s="3">
        <f t="shared" si="32"/>
        <v>-268.77974160382365</v>
      </c>
      <c r="J190" s="2">
        <f t="shared" si="33"/>
        <v>-2.1295916736378481E-2</v>
      </c>
      <c r="K190" s="2">
        <f t="shared" si="34"/>
        <v>0.99977321624974391</v>
      </c>
      <c r="L190" s="4">
        <f t="shared" si="35"/>
        <v>6.129872542759289E-2</v>
      </c>
      <c r="M190" s="4">
        <f t="shared" si="36"/>
        <v>0.65352290543825342</v>
      </c>
    </row>
    <row r="191" spans="1:13" x14ac:dyDescent="0.4">
      <c r="A191" s="1">
        <f t="shared" si="26"/>
        <v>9.4499999999999993</v>
      </c>
      <c r="B191" s="1">
        <f t="shared" si="37"/>
        <v>0.2</v>
      </c>
      <c r="C191" s="1">
        <v>0.2</v>
      </c>
      <c r="D191" s="1">
        <f t="shared" si="27"/>
        <v>0</v>
      </c>
      <c r="E191" s="1">
        <f t="shared" si="28"/>
        <v>0</v>
      </c>
      <c r="F191" s="1">
        <f t="shared" si="29"/>
        <v>0.2</v>
      </c>
      <c r="G191" s="4">
        <f t="shared" si="30"/>
        <v>0</v>
      </c>
      <c r="H191" s="4">
        <f t="shared" si="31"/>
        <v>-4.6910914536463073</v>
      </c>
      <c r="I191" s="3">
        <f t="shared" si="32"/>
        <v>-268.77974160382365</v>
      </c>
      <c r="J191" s="2">
        <f t="shared" si="33"/>
        <v>-2.1295916736378481E-2</v>
      </c>
      <c r="K191" s="2">
        <f t="shared" si="34"/>
        <v>0.99977321624974391</v>
      </c>
      <c r="L191" s="4">
        <f t="shared" si="35"/>
        <v>6.1085766260229102E-2</v>
      </c>
      <c r="M191" s="4">
        <f t="shared" si="36"/>
        <v>0.66352063760075086</v>
      </c>
    </row>
    <row r="192" spans="1:13" x14ac:dyDescent="0.4">
      <c r="A192" s="1">
        <f t="shared" si="26"/>
        <v>9.5</v>
      </c>
      <c r="B192" s="1">
        <f t="shared" si="37"/>
        <v>0.2</v>
      </c>
      <c r="C192" s="1">
        <v>0.2</v>
      </c>
      <c r="D192" s="1">
        <f t="shared" si="27"/>
        <v>0</v>
      </c>
      <c r="E192" s="1">
        <f t="shared" si="28"/>
        <v>0</v>
      </c>
      <c r="F192" s="1">
        <f t="shared" si="29"/>
        <v>0.2</v>
      </c>
      <c r="G192" s="4">
        <f t="shared" si="30"/>
        <v>0</v>
      </c>
      <c r="H192" s="4">
        <f t="shared" si="31"/>
        <v>-4.6910914536463073</v>
      </c>
      <c r="I192" s="3">
        <f t="shared" si="32"/>
        <v>-268.77974160382365</v>
      </c>
      <c r="J192" s="2">
        <f t="shared" si="33"/>
        <v>-2.1295916736378481E-2</v>
      </c>
      <c r="K192" s="2">
        <f t="shared" si="34"/>
        <v>0.99977321624974391</v>
      </c>
      <c r="L192" s="4">
        <f t="shared" si="35"/>
        <v>6.0872807092865314E-2</v>
      </c>
      <c r="M192" s="4">
        <f t="shared" si="36"/>
        <v>0.6735183697632483</v>
      </c>
    </row>
    <row r="193" spans="1:13" x14ac:dyDescent="0.4">
      <c r="A193" s="1">
        <f t="shared" si="26"/>
        <v>9.5500000000000007</v>
      </c>
      <c r="B193" s="1">
        <f t="shared" si="37"/>
        <v>0.2</v>
      </c>
      <c r="C193" s="1">
        <v>0.2</v>
      </c>
      <c r="D193" s="1">
        <f t="shared" si="27"/>
        <v>0</v>
      </c>
      <c r="E193" s="1">
        <f t="shared" si="28"/>
        <v>0</v>
      </c>
      <c r="F193" s="1">
        <f t="shared" si="29"/>
        <v>0.2</v>
      </c>
      <c r="G193" s="4">
        <f t="shared" si="30"/>
        <v>0</v>
      </c>
      <c r="H193" s="4">
        <f t="shared" si="31"/>
        <v>-4.6910914536463073</v>
      </c>
      <c r="I193" s="3">
        <f t="shared" si="32"/>
        <v>-268.77974160382365</v>
      </c>
      <c r="J193" s="2">
        <f t="shared" si="33"/>
        <v>-2.1295916736378481E-2</v>
      </c>
      <c r="K193" s="2">
        <f t="shared" si="34"/>
        <v>0.99977321624974391</v>
      </c>
      <c r="L193" s="4">
        <f t="shared" si="35"/>
        <v>6.0659847925501525E-2</v>
      </c>
      <c r="M193" s="4">
        <f t="shared" si="36"/>
        <v>0.68351610192574574</v>
      </c>
    </row>
    <row r="194" spans="1:13" x14ac:dyDescent="0.4">
      <c r="A194" s="1">
        <f t="shared" si="26"/>
        <v>9.6000000000000014</v>
      </c>
      <c r="B194" s="1">
        <f t="shared" si="37"/>
        <v>0.2</v>
      </c>
      <c r="C194" s="1">
        <v>0.2</v>
      </c>
      <c r="D194" s="1">
        <f t="shared" si="27"/>
        <v>0</v>
      </c>
      <c r="E194" s="1">
        <f t="shared" si="28"/>
        <v>0</v>
      </c>
      <c r="F194" s="1">
        <f t="shared" si="29"/>
        <v>0.2</v>
      </c>
      <c r="G194" s="4">
        <f t="shared" si="30"/>
        <v>0</v>
      </c>
      <c r="H194" s="4">
        <f t="shared" si="31"/>
        <v>-4.6910914536463073</v>
      </c>
      <c r="I194" s="3">
        <f t="shared" si="32"/>
        <v>-268.77974160382365</v>
      </c>
      <c r="J194" s="2">
        <f t="shared" si="33"/>
        <v>-2.1295916736378481E-2</v>
      </c>
      <c r="K194" s="2">
        <f t="shared" si="34"/>
        <v>0.99977321624974391</v>
      </c>
      <c r="L194" s="4">
        <f t="shared" si="35"/>
        <v>6.0446888758137737E-2</v>
      </c>
      <c r="M194" s="4">
        <f t="shared" si="36"/>
        <v>0.69351383408824319</v>
      </c>
    </row>
    <row r="195" spans="1:13" x14ac:dyDescent="0.4">
      <c r="A195" s="1">
        <f t="shared" si="26"/>
        <v>9.6500000000000021</v>
      </c>
      <c r="B195" s="1">
        <f t="shared" si="37"/>
        <v>0.2</v>
      </c>
      <c r="C195" s="1">
        <v>0.2</v>
      </c>
      <c r="D195" s="1">
        <f t="shared" si="27"/>
        <v>0</v>
      </c>
      <c r="E195" s="1">
        <f t="shared" si="28"/>
        <v>0</v>
      </c>
      <c r="F195" s="1">
        <f t="shared" si="29"/>
        <v>0.2</v>
      </c>
      <c r="G195" s="4">
        <f t="shared" si="30"/>
        <v>0</v>
      </c>
      <c r="H195" s="4">
        <f t="shared" si="31"/>
        <v>-4.6910914536463073</v>
      </c>
      <c r="I195" s="3">
        <f t="shared" si="32"/>
        <v>-268.77974160382365</v>
      </c>
      <c r="J195" s="2">
        <f t="shared" si="33"/>
        <v>-2.1295916736378481E-2</v>
      </c>
      <c r="K195" s="2">
        <f t="shared" si="34"/>
        <v>0.99977321624974391</v>
      </c>
      <c r="L195" s="4">
        <f t="shared" si="35"/>
        <v>6.0233929590773949E-2</v>
      </c>
      <c r="M195" s="4">
        <f t="shared" si="36"/>
        <v>0.70351156625074063</v>
      </c>
    </row>
    <row r="196" spans="1:13" x14ac:dyDescent="0.4">
      <c r="A196" s="1">
        <f t="shared" ref="A196:A259" si="38">A195+$P$3</f>
        <v>9.7000000000000028</v>
      </c>
      <c r="B196" s="1">
        <f t="shared" si="37"/>
        <v>0.2</v>
      </c>
      <c r="C196" s="1">
        <v>0.2</v>
      </c>
      <c r="D196" s="1">
        <f t="shared" ref="D196:D259" si="39">(B196-B195)/$P$3</f>
        <v>0</v>
      </c>
      <c r="E196" s="1">
        <f t="shared" ref="E196:E259" si="40">(C196-C195)/$P$3</f>
        <v>0</v>
      </c>
      <c r="F196" s="1">
        <f t="shared" ref="F196:F259" si="41">(B196+C196)/2</f>
        <v>0.2</v>
      </c>
      <c r="G196" s="4">
        <f t="shared" ref="G196:G259" si="42">(B196-C196)/R$3</f>
        <v>0</v>
      </c>
      <c r="H196" s="4">
        <f t="shared" ref="H196:H259" si="43">H195+G196*P$3</f>
        <v>-4.6910914536463073</v>
      </c>
      <c r="I196" s="3">
        <f t="shared" ref="I196:I259" si="44">H196*180/PI()</f>
        <v>-268.77974160382365</v>
      </c>
      <c r="J196" s="2">
        <f t="shared" ref="J196:J259" si="45">COS((H196+H195)/2)</f>
        <v>-2.1295916736378481E-2</v>
      </c>
      <c r="K196" s="2">
        <f t="shared" ref="K196:K259" si="46">SIN((H196+H195)/2)</f>
        <v>0.99977321624974391</v>
      </c>
      <c r="L196" s="4">
        <f t="shared" ref="L196:L259" si="47">L195+F196*P$3*J196</f>
        <v>6.0020970423410161E-2</v>
      </c>
      <c r="M196" s="4">
        <f t="shared" ref="M196:M259" si="48">M195+F196*P$3*K196</f>
        <v>0.71350929841323807</v>
      </c>
    </row>
    <row r="197" spans="1:13" x14ac:dyDescent="0.4">
      <c r="A197" s="1">
        <f t="shared" si="38"/>
        <v>9.7500000000000036</v>
      </c>
      <c r="B197" s="1">
        <f t="shared" si="37"/>
        <v>0.2</v>
      </c>
      <c r="C197" s="1">
        <v>0.2</v>
      </c>
      <c r="D197" s="1">
        <f t="shared" si="39"/>
        <v>0</v>
      </c>
      <c r="E197" s="1">
        <f t="shared" si="40"/>
        <v>0</v>
      </c>
      <c r="F197" s="1">
        <f t="shared" si="41"/>
        <v>0.2</v>
      </c>
      <c r="G197" s="4">
        <f t="shared" si="42"/>
        <v>0</v>
      </c>
      <c r="H197" s="4">
        <f t="shared" si="43"/>
        <v>-4.6910914536463073</v>
      </c>
      <c r="I197" s="3">
        <f t="shared" si="44"/>
        <v>-268.77974160382365</v>
      </c>
      <c r="J197" s="2">
        <f t="shared" si="45"/>
        <v>-2.1295916736378481E-2</v>
      </c>
      <c r="K197" s="2">
        <f t="shared" si="46"/>
        <v>0.99977321624974391</v>
      </c>
      <c r="L197" s="4">
        <f t="shared" si="47"/>
        <v>5.9808011256046373E-2</v>
      </c>
      <c r="M197" s="4">
        <f t="shared" si="48"/>
        <v>0.72350703057573551</v>
      </c>
    </row>
    <row r="198" spans="1:13" x14ac:dyDescent="0.4">
      <c r="A198" s="1">
        <f t="shared" si="38"/>
        <v>9.8000000000000043</v>
      </c>
      <c r="B198" s="1">
        <f t="shared" si="37"/>
        <v>0.2</v>
      </c>
      <c r="C198" s="1">
        <v>0.2</v>
      </c>
      <c r="D198" s="1">
        <f t="shared" si="39"/>
        <v>0</v>
      </c>
      <c r="E198" s="1">
        <f t="shared" si="40"/>
        <v>0</v>
      </c>
      <c r="F198" s="1">
        <f t="shared" si="41"/>
        <v>0.2</v>
      </c>
      <c r="G198" s="4">
        <f t="shared" si="42"/>
        <v>0</v>
      </c>
      <c r="H198" s="4">
        <f t="shared" si="43"/>
        <v>-4.6910914536463073</v>
      </c>
      <c r="I198" s="3">
        <f t="shared" si="44"/>
        <v>-268.77974160382365</v>
      </c>
      <c r="J198" s="2">
        <f t="shared" si="45"/>
        <v>-2.1295916736378481E-2</v>
      </c>
      <c r="K198" s="2">
        <f t="shared" si="46"/>
        <v>0.99977321624974391</v>
      </c>
      <c r="L198" s="4">
        <f t="shared" si="47"/>
        <v>5.9595052088682585E-2</v>
      </c>
      <c r="M198" s="4">
        <f t="shared" si="48"/>
        <v>0.73350476273823295</v>
      </c>
    </row>
    <row r="199" spans="1:13" x14ac:dyDescent="0.4">
      <c r="A199" s="1">
        <f t="shared" si="38"/>
        <v>9.850000000000005</v>
      </c>
      <c r="B199" s="1">
        <f t="shared" si="37"/>
        <v>0.2</v>
      </c>
      <c r="C199" s="1">
        <v>0.2</v>
      </c>
      <c r="D199" s="1">
        <f t="shared" si="39"/>
        <v>0</v>
      </c>
      <c r="E199" s="1">
        <f t="shared" si="40"/>
        <v>0</v>
      </c>
      <c r="F199" s="1">
        <f t="shared" si="41"/>
        <v>0.2</v>
      </c>
      <c r="G199" s="4">
        <f t="shared" si="42"/>
        <v>0</v>
      </c>
      <c r="H199" s="4">
        <f t="shared" si="43"/>
        <v>-4.6910914536463073</v>
      </c>
      <c r="I199" s="3">
        <f t="shared" si="44"/>
        <v>-268.77974160382365</v>
      </c>
      <c r="J199" s="2">
        <f t="shared" si="45"/>
        <v>-2.1295916736378481E-2</v>
      </c>
      <c r="K199" s="2">
        <f t="shared" si="46"/>
        <v>0.99977321624974391</v>
      </c>
      <c r="L199" s="4">
        <f t="shared" si="47"/>
        <v>5.9382092921318796E-2</v>
      </c>
      <c r="M199" s="4">
        <f t="shared" si="48"/>
        <v>0.74350249490073039</v>
      </c>
    </row>
    <row r="200" spans="1:13" x14ac:dyDescent="0.4">
      <c r="A200" s="1">
        <f t="shared" si="38"/>
        <v>9.9000000000000057</v>
      </c>
      <c r="B200" s="1">
        <f t="shared" si="37"/>
        <v>0.2</v>
      </c>
      <c r="C200" s="1">
        <v>0.2</v>
      </c>
      <c r="D200" s="1">
        <f t="shared" si="39"/>
        <v>0</v>
      </c>
      <c r="E200" s="1">
        <f t="shared" si="40"/>
        <v>0</v>
      </c>
      <c r="F200" s="1">
        <f t="shared" si="41"/>
        <v>0.2</v>
      </c>
      <c r="G200" s="4">
        <f t="shared" si="42"/>
        <v>0</v>
      </c>
      <c r="H200" s="4">
        <f t="shared" si="43"/>
        <v>-4.6910914536463073</v>
      </c>
      <c r="I200" s="3">
        <f t="shared" si="44"/>
        <v>-268.77974160382365</v>
      </c>
      <c r="J200" s="2">
        <f t="shared" si="45"/>
        <v>-2.1295916736378481E-2</v>
      </c>
      <c r="K200" s="2">
        <f t="shared" si="46"/>
        <v>0.99977321624974391</v>
      </c>
      <c r="L200" s="4">
        <f t="shared" si="47"/>
        <v>5.9169133753955008E-2</v>
      </c>
      <c r="M200" s="4">
        <f t="shared" si="48"/>
        <v>0.75350022706322783</v>
      </c>
    </row>
    <row r="201" spans="1:13" x14ac:dyDescent="0.4">
      <c r="A201" s="1">
        <f t="shared" si="38"/>
        <v>9.9500000000000064</v>
      </c>
      <c r="B201" s="1">
        <f t="shared" si="37"/>
        <v>0.2</v>
      </c>
      <c r="C201" s="1">
        <v>0.2</v>
      </c>
      <c r="D201" s="1">
        <f t="shared" si="39"/>
        <v>0</v>
      </c>
      <c r="E201" s="1">
        <f t="shared" si="40"/>
        <v>0</v>
      </c>
      <c r="F201" s="1">
        <f t="shared" si="41"/>
        <v>0.2</v>
      </c>
      <c r="G201" s="4">
        <f t="shared" si="42"/>
        <v>0</v>
      </c>
      <c r="H201" s="4">
        <f t="shared" si="43"/>
        <v>-4.6910914536463073</v>
      </c>
      <c r="I201" s="3">
        <f t="shared" si="44"/>
        <v>-268.77974160382365</v>
      </c>
      <c r="J201" s="2">
        <f t="shared" si="45"/>
        <v>-2.1295916736378481E-2</v>
      </c>
      <c r="K201" s="2">
        <f t="shared" si="46"/>
        <v>0.99977321624974391</v>
      </c>
      <c r="L201" s="4">
        <f t="shared" si="47"/>
        <v>5.895617458659122E-2</v>
      </c>
      <c r="M201" s="4">
        <f t="shared" si="48"/>
        <v>0.76349795922572528</v>
      </c>
    </row>
    <row r="202" spans="1:13" x14ac:dyDescent="0.4">
      <c r="A202" s="1">
        <f t="shared" si="38"/>
        <v>10.000000000000007</v>
      </c>
      <c r="B202" s="1">
        <f t="shared" si="37"/>
        <v>0.2</v>
      </c>
      <c r="C202" s="1">
        <v>0.2</v>
      </c>
      <c r="D202" s="1">
        <f t="shared" si="39"/>
        <v>0</v>
      </c>
      <c r="E202" s="1">
        <f t="shared" si="40"/>
        <v>0</v>
      </c>
      <c r="F202" s="1">
        <f t="shared" si="41"/>
        <v>0.2</v>
      </c>
      <c r="G202" s="4">
        <f t="shared" si="42"/>
        <v>0</v>
      </c>
      <c r="H202" s="4">
        <f t="shared" si="43"/>
        <v>-4.6910914536463073</v>
      </c>
      <c r="I202" s="3">
        <f t="shared" si="44"/>
        <v>-268.77974160382365</v>
      </c>
      <c r="J202" s="2">
        <f t="shared" si="45"/>
        <v>-2.1295916736378481E-2</v>
      </c>
      <c r="K202" s="2">
        <f t="shared" si="46"/>
        <v>0.99977321624974391</v>
      </c>
      <c r="L202" s="4">
        <f t="shared" si="47"/>
        <v>5.8743215419227432E-2</v>
      </c>
      <c r="M202" s="4">
        <f t="shared" si="48"/>
        <v>0.77349569138822272</v>
      </c>
    </row>
    <row r="203" spans="1:13" x14ac:dyDescent="0.4">
      <c r="A203" s="1">
        <f t="shared" si="38"/>
        <v>10.050000000000008</v>
      </c>
      <c r="B203" s="1">
        <f t="shared" si="37"/>
        <v>0.2</v>
      </c>
      <c r="C203" s="1">
        <v>0.2</v>
      </c>
      <c r="D203" s="1">
        <f t="shared" si="39"/>
        <v>0</v>
      </c>
      <c r="E203" s="1">
        <f t="shared" si="40"/>
        <v>0</v>
      </c>
      <c r="F203" s="1">
        <f t="shared" si="41"/>
        <v>0.2</v>
      </c>
      <c r="G203" s="4">
        <f t="shared" si="42"/>
        <v>0</v>
      </c>
      <c r="H203" s="4">
        <f t="shared" si="43"/>
        <v>-4.6910914536463073</v>
      </c>
      <c r="I203" s="3">
        <f t="shared" si="44"/>
        <v>-268.77974160382365</v>
      </c>
      <c r="J203" s="2">
        <f t="shared" si="45"/>
        <v>-2.1295916736378481E-2</v>
      </c>
      <c r="K203" s="2">
        <f t="shared" si="46"/>
        <v>0.99977321624974391</v>
      </c>
      <c r="L203" s="4">
        <f t="shared" si="47"/>
        <v>5.8530256251863644E-2</v>
      </c>
      <c r="M203" s="4">
        <f t="shared" si="48"/>
        <v>0.78349342355072016</v>
      </c>
    </row>
    <row r="204" spans="1:13" x14ac:dyDescent="0.4">
      <c r="A204" s="1">
        <f t="shared" si="38"/>
        <v>10.100000000000009</v>
      </c>
      <c r="B204" s="1">
        <f t="shared" si="37"/>
        <v>0.2</v>
      </c>
      <c r="C204" s="1">
        <v>0.2</v>
      </c>
      <c r="D204" s="1">
        <f t="shared" si="39"/>
        <v>0</v>
      </c>
      <c r="E204" s="1">
        <f t="shared" si="40"/>
        <v>0</v>
      </c>
      <c r="F204" s="1">
        <f t="shared" si="41"/>
        <v>0.2</v>
      </c>
      <c r="G204" s="4">
        <f t="shared" si="42"/>
        <v>0</v>
      </c>
      <c r="H204" s="4">
        <f t="shared" si="43"/>
        <v>-4.6910914536463073</v>
      </c>
      <c r="I204" s="3">
        <f t="shared" si="44"/>
        <v>-268.77974160382365</v>
      </c>
      <c r="J204" s="2">
        <f t="shared" si="45"/>
        <v>-2.1295916736378481E-2</v>
      </c>
      <c r="K204" s="2">
        <f t="shared" si="46"/>
        <v>0.99977321624974391</v>
      </c>
      <c r="L204" s="4">
        <f t="shared" si="47"/>
        <v>5.8317297084499856E-2</v>
      </c>
      <c r="M204" s="4">
        <f t="shared" si="48"/>
        <v>0.7934911557132176</v>
      </c>
    </row>
    <row r="205" spans="1:13" x14ac:dyDescent="0.4">
      <c r="A205" s="1">
        <f t="shared" si="38"/>
        <v>10.150000000000009</v>
      </c>
      <c r="B205" s="1">
        <f t="shared" si="37"/>
        <v>0.2</v>
      </c>
      <c r="C205" s="1">
        <v>0.2</v>
      </c>
      <c r="D205" s="1">
        <f t="shared" si="39"/>
        <v>0</v>
      </c>
      <c r="E205" s="1">
        <f t="shared" si="40"/>
        <v>0</v>
      </c>
      <c r="F205" s="1">
        <f t="shared" si="41"/>
        <v>0.2</v>
      </c>
      <c r="G205" s="4">
        <f t="shared" si="42"/>
        <v>0</v>
      </c>
      <c r="H205" s="4">
        <f t="shared" si="43"/>
        <v>-4.6910914536463073</v>
      </c>
      <c r="I205" s="3">
        <f t="shared" si="44"/>
        <v>-268.77974160382365</v>
      </c>
      <c r="J205" s="2">
        <f t="shared" si="45"/>
        <v>-2.1295916736378481E-2</v>
      </c>
      <c r="K205" s="2">
        <f t="shared" si="46"/>
        <v>0.99977321624974391</v>
      </c>
      <c r="L205" s="4">
        <f t="shared" si="47"/>
        <v>5.8104337917136067E-2</v>
      </c>
      <c r="M205" s="4">
        <f t="shared" si="48"/>
        <v>0.80348888787571504</v>
      </c>
    </row>
    <row r="206" spans="1:13" x14ac:dyDescent="0.4">
      <c r="A206" s="1">
        <f t="shared" si="38"/>
        <v>10.20000000000001</v>
      </c>
      <c r="B206" s="1">
        <f t="shared" si="37"/>
        <v>0.2</v>
      </c>
      <c r="C206" s="1">
        <v>0.2</v>
      </c>
      <c r="D206" s="1">
        <f t="shared" si="39"/>
        <v>0</v>
      </c>
      <c r="E206" s="1">
        <f t="shared" si="40"/>
        <v>0</v>
      </c>
      <c r="F206" s="1">
        <f t="shared" si="41"/>
        <v>0.2</v>
      </c>
      <c r="G206" s="4">
        <f t="shared" si="42"/>
        <v>0</v>
      </c>
      <c r="H206" s="4">
        <f t="shared" si="43"/>
        <v>-4.6910914536463073</v>
      </c>
      <c r="I206" s="3">
        <f t="shared" si="44"/>
        <v>-268.77974160382365</v>
      </c>
      <c r="J206" s="2">
        <f t="shared" si="45"/>
        <v>-2.1295916736378481E-2</v>
      </c>
      <c r="K206" s="2">
        <f t="shared" si="46"/>
        <v>0.99977321624974391</v>
      </c>
      <c r="L206" s="4">
        <f t="shared" si="47"/>
        <v>5.7891378749772279E-2</v>
      </c>
      <c r="M206" s="4">
        <f t="shared" si="48"/>
        <v>0.81348662003821248</v>
      </c>
    </row>
    <row r="207" spans="1:13" x14ac:dyDescent="0.4">
      <c r="A207" s="1">
        <f t="shared" si="38"/>
        <v>10.250000000000011</v>
      </c>
      <c r="B207" s="1">
        <f t="shared" si="37"/>
        <v>0.2</v>
      </c>
      <c r="C207" s="1">
        <v>0.2</v>
      </c>
      <c r="D207" s="1">
        <f t="shared" si="39"/>
        <v>0</v>
      </c>
      <c r="E207" s="1">
        <f t="shared" si="40"/>
        <v>0</v>
      </c>
      <c r="F207" s="1">
        <f t="shared" si="41"/>
        <v>0.2</v>
      </c>
      <c r="G207" s="4">
        <f t="shared" si="42"/>
        <v>0</v>
      </c>
      <c r="H207" s="4">
        <f t="shared" si="43"/>
        <v>-4.6910914536463073</v>
      </c>
      <c r="I207" s="3">
        <f t="shared" si="44"/>
        <v>-268.77974160382365</v>
      </c>
      <c r="J207" s="2">
        <f t="shared" si="45"/>
        <v>-2.1295916736378481E-2</v>
      </c>
      <c r="K207" s="2">
        <f t="shared" si="46"/>
        <v>0.99977321624974391</v>
      </c>
      <c r="L207" s="4">
        <f t="shared" si="47"/>
        <v>5.7678419582408491E-2</v>
      </c>
      <c r="M207" s="4">
        <f t="shared" si="48"/>
        <v>0.82348435220070992</v>
      </c>
    </row>
    <row r="208" spans="1:13" x14ac:dyDescent="0.4">
      <c r="A208" s="1">
        <f t="shared" si="38"/>
        <v>10.300000000000011</v>
      </c>
      <c r="B208" s="1">
        <f t="shared" si="37"/>
        <v>0.2</v>
      </c>
      <c r="C208" s="1">
        <v>0.2</v>
      </c>
      <c r="D208" s="1">
        <f t="shared" si="39"/>
        <v>0</v>
      </c>
      <c r="E208" s="1">
        <f t="shared" si="40"/>
        <v>0</v>
      </c>
      <c r="F208" s="1">
        <f t="shared" si="41"/>
        <v>0.2</v>
      </c>
      <c r="G208" s="4">
        <f t="shared" si="42"/>
        <v>0</v>
      </c>
      <c r="H208" s="4">
        <f t="shared" si="43"/>
        <v>-4.6910914536463073</v>
      </c>
      <c r="I208" s="3">
        <f t="shared" si="44"/>
        <v>-268.77974160382365</v>
      </c>
      <c r="J208" s="2">
        <f t="shared" si="45"/>
        <v>-2.1295916736378481E-2</v>
      </c>
      <c r="K208" s="2">
        <f t="shared" si="46"/>
        <v>0.99977321624974391</v>
      </c>
      <c r="L208" s="4">
        <f t="shared" si="47"/>
        <v>5.7465460415044703E-2</v>
      </c>
      <c r="M208" s="4">
        <f t="shared" si="48"/>
        <v>0.83348208436320737</v>
      </c>
    </row>
    <row r="209" spans="1:13" x14ac:dyDescent="0.4">
      <c r="A209" s="1">
        <f t="shared" si="38"/>
        <v>10.350000000000012</v>
      </c>
      <c r="B209" s="1">
        <f t="shared" si="37"/>
        <v>0.2</v>
      </c>
      <c r="C209" s="1">
        <v>0.2</v>
      </c>
      <c r="D209" s="1">
        <f t="shared" si="39"/>
        <v>0</v>
      </c>
      <c r="E209" s="1">
        <f t="shared" si="40"/>
        <v>0</v>
      </c>
      <c r="F209" s="1">
        <f t="shared" si="41"/>
        <v>0.2</v>
      </c>
      <c r="G209" s="4">
        <f t="shared" si="42"/>
        <v>0</v>
      </c>
      <c r="H209" s="4">
        <f t="shared" si="43"/>
        <v>-4.6910914536463073</v>
      </c>
      <c r="I209" s="3">
        <f t="shared" si="44"/>
        <v>-268.77974160382365</v>
      </c>
      <c r="J209" s="2">
        <f t="shared" si="45"/>
        <v>-2.1295916736378481E-2</v>
      </c>
      <c r="K209" s="2">
        <f t="shared" si="46"/>
        <v>0.99977321624974391</v>
      </c>
      <c r="L209" s="4">
        <f t="shared" si="47"/>
        <v>5.7252501247680915E-2</v>
      </c>
      <c r="M209" s="4">
        <f t="shared" si="48"/>
        <v>0.84347981652570481</v>
      </c>
    </row>
    <row r="210" spans="1:13" x14ac:dyDescent="0.4">
      <c r="A210" s="1">
        <f t="shared" si="38"/>
        <v>10.400000000000013</v>
      </c>
      <c r="B210" s="1">
        <f t="shared" si="37"/>
        <v>0.2</v>
      </c>
      <c r="C210" s="1">
        <v>0.2</v>
      </c>
      <c r="D210" s="1">
        <f t="shared" si="39"/>
        <v>0</v>
      </c>
      <c r="E210" s="1">
        <f t="shared" si="40"/>
        <v>0</v>
      </c>
      <c r="F210" s="1">
        <f t="shared" si="41"/>
        <v>0.2</v>
      </c>
      <c r="G210" s="4">
        <f t="shared" si="42"/>
        <v>0</v>
      </c>
      <c r="H210" s="4">
        <f t="shared" si="43"/>
        <v>-4.6910914536463073</v>
      </c>
      <c r="I210" s="3">
        <f t="shared" si="44"/>
        <v>-268.77974160382365</v>
      </c>
      <c r="J210" s="2">
        <f t="shared" si="45"/>
        <v>-2.1295916736378481E-2</v>
      </c>
      <c r="K210" s="2">
        <f t="shared" si="46"/>
        <v>0.99977321624974391</v>
      </c>
      <c r="L210" s="4">
        <f t="shared" si="47"/>
        <v>5.7039542080317127E-2</v>
      </c>
      <c r="M210" s="4">
        <f t="shared" si="48"/>
        <v>0.85347754868820225</v>
      </c>
    </row>
    <row r="211" spans="1:13" x14ac:dyDescent="0.4">
      <c r="A211" s="1">
        <f t="shared" si="38"/>
        <v>10.450000000000014</v>
      </c>
      <c r="B211" s="1">
        <f t="shared" si="37"/>
        <v>0.2</v>
      </c>
      <c r="C211" s="1">
        <v>0.2</v>
      </c>
      <c r="D211" s="1">
        <f t="shared" si="39"/>
        <v>0</v>
      </c>
      <c r="E211" s="1">
        <f t="shared" si="40"/>
        <v>0</v>
      </c>
      <c r="F211" s="1">
        <f t="shared" si="41"/>
        <v>0.2</v>
      </c>
      <c r="G211" s="4">
        <f t="shared" si="42"/>
        <v>0</v>
      </c>
      <c r="H211" s="4">
        <f t="shared" si="43"/>
        <v>-4.6910914536463073</v>
      </c>
      <c r="I211" s="3">
        <f t="shared" si="44"/>
        <v>-268.77974160382365</v>
      </c>
      <c r="J211" s="2">
        <f t="shared" si="45"/>
        <v>-2.1295916736378481E-2</v>
      </c>
      <c r="K211" s="2">
        <f t="shared" si="46"/>
        <v>0.99977321624974391</v>
      </c>
      <c r="L211" s="4">
        <f t="shared" si="47"/>
        <v>5.6826582912953338E-2</v>
      </c>
      <c r="M211" s="4">
        <f t="shared" si="48"/>
        <v>0.86347528085069969</v>
      </c>
    </row>
    <row r="212" spans="1:13" x14ac:dyDescent="0.4">
      <c r="A212" s="1">
        <f t="shared" si="38"/>
        <v>10.500000000000014</v>
      </c>
      <c r="B212" s="1">
        <f t="shared" si="37"/>
        <v>0.2</v>
      </c>
      <c r="C212" s="1">
        <v>0.2</v>
      </c>
      <c r="D212" s="1">
        <f t="shared" si="39"/>
        <v>0</v>
      </c>
      <c r="E212" s="1">
        <f t="shared" si="40"/>
        <v>0</v>
      </c>
      <c r="F212" s="1">
        <f t="shared" si="41"/>
        <v>0.2</v>
      </c>
      <c r="G212" s="4">
        <f t="shared" si="42"/>
        <v>0</v>
      </c>
      <c r="H212" s="4">
        <f t="shared" si="43"/>
        <v>-4.6910914536463073</v>
      </c>
      <c r="I212" s="3">
        <f t="shared" si="44"/>
        <v>-268.77974160382365</v>
      </c>
      <c r="J212" s="2">
        <f t="shared" si="45"/>
        <v>-2.1295916736378481E-2</v>
      </c>
      <c r="K212" s="2">
        <f t="shared" si="46"/>
        <v>0.99977321624974391</v>
      </c>
      <c r="L212" s="4">
        <f t="shared" si="47"/>
        <v>5.661362374558955E-2</v>
      </c>
      <c r="M212" s="4">
        <f t="shared" si="48"/>
        <v>0.87347301301319713</v>
      </c>
    </row>
    <row r="213" spans="1:13" x14ac:dyDescent="0.4">
      <c r="A213" s="1">
        <f t="shared" si="38"/>
        <v>10.550000000000015</v>
      </c>
      <c r="B213" s="1">
        <f t="shared" si="37"/>
        <v>0.2</v>
      </c>
      <c r="C213" s="1">
        <v>0.2</v>
      </c>
      <c r="D213" s="1">
        <f t="shared" si="39"/>
        <v>0</v>
      </c>
      <c r="E213" s="1">
        <f t="shared" si="40"/>
        <v>0</v>
      </c>
      <c r="F213" s="1">
        <f t="shared" si="41"/>
        <v>0.2</v>
      </c>
      <c r="G213" s="4">
        <f t="shared" si="42"/>
        <v>0</v>
      </c>
      <c r="H213" s="4">
        <f t="shared" si="43"/>
        <v>-4.6910914536463073</v>
      </c>
      <c r="I213" s="3">
        <f t="shared" si="44"/>
        <v>-268.77974160382365</v>
      </c>
      <c r="J213" s="2">
        <f t="shared" si="45"/>
        <v>-2.1295916736378481E-2</v>
      </c>
      <c r="K213" s="2">
        <f t="shared" si="46"/>
        <v>0.99977321624974391</v>
      </c>
      <c r="L213" s="4">
        <f t="shared" si="47"/>
        <v>5.6400664578225762E-2</v>
      </c>
      <c r="M213" s="4">
        <f t="shared" si="48"/>
        <v>0.88347074517569457</v>
      </c>
    </row>
    <row r="214" spans="1:13" x14ac:dyDescent="0.4">
      <c r="A214" s="1">
        <f t="shared" si="38"/>
        <v>10.600000000000016</v>
      </c>
      <c r="B214" s="1">
        <f t="shared" si="37"/>
        <v>0.2</v>
      </c>
      <c r="C214" s="1">
        <v>0.2</v>
      </c>
      <c r="D214" s="1">
        <f t="shared" si="39"/>
        <v>0</v>
      </c>
      <c r="E214" s="1">
        <f t="shared" si="40"/>
        <v>0</v>
      </c>
      <c r="F214" s="1">
        <f t="shared" si="41"/>
        <v>0.2</v>
      </c>
      <c r="G214" s="4">
        <f t="shared" si="42"/>
        <v>0</v>
      </c>
      <c r="H214" s="4">
        <f t="shared" si="43"/>
        <v>-4.6910914536463073</v>
      </c>
      <c r="I214" s="3">
        <f t="shared" si="44"/>
        <v>-268.77974160382365</v>
      </c>
      <c r="J214" s="2">
        <f t="shared" si="45"/>
        <v>-2.1295916736378481E-2</v>
      </c>
      <c r="K214" s="2">
        <f t="shared" si="46"/>
        <v>0.99977321624974391</v>
      </c>
      <c r="L214" s="4">
        <f t="shared" si="47"/>
        <v>5.6187705410861974E-2</v>
      </c>
      <c r="M214" s="4">
        <f t="shared" si="48"/>
        <v>0.89346847733819201</v>
      </c>
    </row>
    <row r="215" spans="1:13" x14ac:dyDescent="0.4">
      <c r="A215" s="1">
        <f t="shared" si="38"/>
        <v>10.650000000000016</v>
      </c>
      <c r="B215" s="1">
        <f t="shared" si="37"/>
        <v>0.2</v>
      </c>
      <c r="C215" s="1">
        <v>0.2</v>
      </c>
      <c r="D215" s="1">
        <f t="shared" si="39"/>
        <v>0</v>
      </c>
      <c r="E215" s="1">
        <f t="shared" si="40"/>
        <v>0</v>
      </c>
      <c r="F215" s="1">
        <f t="shared" si="41"/>
        <v>0.2</v>
      </c>
      <c r="G215" s="4">
        <f t="shared" si="42"/>
        <v>0</v>
      </c>
      <c r="H215" s="4">
        <f t="shared" si="43"/>
        <v>-4.6910914536463073</v>
      </c>
      <c r="I215" s="3">
        <f t="shared" si="44"/>
        <v>-268.77974160382365</v>
      </c>
      <c r="J215" s="2">
        <f t="shared" si="45"/>
        <v>-2.1295916736378481E-2</v>
      </c>
      <c r="K215" s="2">
        <f t="shared" si="46"/>
        <v>0.99977321624974391</v>
      </c>
      <c r="L215" s="4">
        <f t="shared" si="47"/>
        <v>5.5974746243498186E-2</v>
      </c>
      <c r="M215" s="4">
        <f t="shared" si="48"/>
        <v>0.90346620950068945</v>
      </c>
    </row>
    <row r="216" spans="1:13" x14ac:dyDescent="0.4">
      <c r="A216" s="1">
        <f t="shared" si="38"/>
        <v>10.700000000000017</v>
      </c>
      <c r="B216" s="1">
        <f t="shared" si="37"/>
        <v>0.2</v>
      </c>
      <c r="C216" s="1">
        <v>0.2</v>
      </c>
      <c r="D216" s="1">
        <f t="shared" si="39"/>
        <v>0</v>
      </c>
      <c r="E216" s="1">
        <f t="shared" si="40"/>
        <v>0</v>
      </c>
      <c r="F216" s="1">
        <f t="shared" si="41"/>
        <v>0.2</v>
      </c>
      <c r="G216" s="4">
        <f t="shared" si="42"/>
        <v>0</v>
      </c>
      <c r="H216" s="4">
        <f t="shared" si="43"/>
        <v>-4.6910914536463073</v>
      </c>
      <c r="I216" s="3">
        <f t="shared" si="44"/>
        <v>-268.77974160382365</v>
      </c>
      <c r="J216" s="2">
        <f t="shared" si="45"/>
        <v>-2.1295916736378481E-2</v>
      </c>
      <c r="K216" s="2">
        <f t="shared" si="46"/>
        <v>0.99977321624974391</v>
      </c>
      <c r="L216" s="4">
        <f t="shared" si="47"/>
        <v>5.5761787076134398E-2</v>
      </c>
      <c r="M216" s="4">
        <f t="shared" si="48"/>
        <v>0.9134639416631869</v>
      </c>
    </row>
    <row r="217" spans="1:13" x14ac:dyDescent="0.4">
      <c r="A217" s="1">
        <f t="shared" si="38"/>
        <v>10.750000000000018</v>
      </c>
      <c r="B217" s="1">
        <f t="shared" si="37"/>
        <v>0.2</v>
      </c>
      <c r="C217" s="1">
        <v>0.2</v>
      </c>
      <c r="D217" s="1">
        <f t="shared" si="39"/>
        <v>0</v>
      </c>
      <c r="E217" s="1">
        <f t="shared" si="40"/>
        <v>0</v>
      </c>
      <c r="F217" s="1">
        <f t="shared" si="41"/>
        <v>0.2</v>
      </c>
      <c r="G217" s="4">
        <f t="shared" si="42"/>
        <v>0</v>
      </c>
      <c r="H217" s="4">
        <f t="shared" si="43"/>
        <v>-4.6910914536463073</v>
      </c>
      <c r="I217" s="3">
        <f t="shared" si="44"/>
        <v>-268.77974160382365</v>
      </c>
      <c r="J217" s="2">
        <f t="shared" si="45"/>
        <v>-2.1295916736378481E-2</v>
      </c>
      <c r="K217" s="2">
        <f t="shared" si="46"/>
        <v>0.99977321624974391</v>
      </c>
      <c r="L217" s="4">
        <f t="shared" si="47"/>
        <v>5.5548827908770609E-2</v>
      </c>
      <c r="M217" s="4">
        <f t="shared" si="48"/>
        <v>0.92346167382568434</v>
      </c>
    </row>
    <row r="218" spans="1:13" x14ac:dyDescent="0.4">
      <c r="A218" s="1">
        <f t="shared" si="38"/>
        <v>10.800000000000018</v>
      </c>
      <c r="B218" s="1">
        <f t="shared" si="37"/>
        <v>0.2</v>
      </c>
      <c r="C218" s="1">
        <v>0.2</v>
      </c>
      <c r="D218" s="1">
        <f t="shared" si="39"/>
        <v>0</v>
      </c>
      <c r="E218" s="1">
        <f t="shared" si="40"/>
        <v>0</v>
      </c>
      <c r="F218" s="1">
        <f t="shared" si="41"/>
        <v>0.2</v>
      </c>
      <c r="G218" s="4">
        <f t="shared" si="42"/>
        <v>0</v>
      </c>
      <c r="H218" s="4">
        <f t="shared" si="43"/>
        <v>-4.6910914536463073</v>
      </c>
      <c r="I218" s="3">
        <f t="shared" si="44"/>
        <v>-268.77974160382365</v>
      </c>
      <c r="J218" s="2">
        <f t="shared" si="45"/>
        <v>-2.1295916736378481E-2</v>
      </c>
      <c r="K218" s="2">
        <f t="shared" si="46"/>
        <v>0.99977321624974391</v>
      </c>
      <c r="L218" s="4">
        <f t="shared" si="47"/>
        <v>5.5335868741406821E-2</v>
      </c>
      <c r="M218" s="4">
        <f t="shared" si="48"/>
        <v>0.93345940598818178</v>
      </c>
    </row>
    <row r="219" spans="1:13" x14ac:dyDescent="0.4">
      <c r="A219" s="1">
        <f t="shared" si="38"/>
        <v>10.850000000000019</v>
      </c>
      <c r="B219" s="1">
        <f t="shared" si="37"/>
        <v>0.2</v>
      </c>
      <c r="C219" s="1">
        <v>0.2</v>
      </c>
      <c r="D219" s="1">
        <f t="shared" si="39"/>
        <v>0</v>
      </c>
      <c r="E219" s="1">
        <f t="shared" si="40"/>
        <v>0</v>
      </c>
      <c r="F219" s="1">
        <f t="shared" si="41"/>
        <v>0.2</v>
      </c>
      <c r="G219" s="4">
        <f t="shared" si="42"/>
        <v>0</v>
      </c>
      <c r="H219" s="4">
        <f t="shared" si="43"/>
        <v>-4.6910914536463073</v>
      </c>
      <c r="I219" s="3">
        <f t="shared" si="44"/>
        <v>-268.77974160382365</v>
      </c>
      <c r="J219" s="2">
        <f t="shared" si="45"/>
        <v>-2.1295916736378481E-2</v>
      </c>
      <c r="K219" s="2">
        <f t="shared" si="46"/>
        <v>0.99977321624974391</v>
      </c>
      <c r="L219" s="4">
        <f t="shared" si="47"/>
        <v>5.5122909574043033E-2</v>
      </c>
      <c r="M219" s="4">
        <f t="shared" si="48"/>
        <v>0.94345713815067922</v>
      </c>
    </row>
    <row r="220" spans="1:13" x14ac:dyDescent="0.4">
      <c r="A220" s="1">
        <f t="shared" si="38"/>
        <v>10.90000000000002</v>
      </c>
      <c r="B220" s="1">
        <f t="shared" si="37"/>
        <v>0.2</v>
      </c>
      <c r="C220" s="1">
        <v>0.2</v>
      </c>
      <c r="D220" s="1">
        <f t="shared" si="39"/>
        <v>0</v>
      </c>
      <c r="E220" s="1">
        <f t="shared" si="40"/>
        <v>0</v>
      </c>
      <c r="F220" s="1">
        <f t="shared" si="41"/>
        <v>0.2</v>
      </c>
      <c r="G220" s="4">
        <f t="shared" si="42"/>
        <v>0</v>
      </c>
      <c r="H220" s="4">
        <f t="shared" si="43"/>
        <v>-4.6910914536463073</v>
      </c>
      <c r="I220" s="3">
        <f t="shared" si="44"/>
        <v>-268.77974160382365</v>
      </c>
      <c r="J220" s="2">
        <f t="shared" si="45"/>
        <v>-2.1295916736378481E-2</v>
      </c>
      <c r="K220" s="2">
        <f t="shared" si="46"/>
        <v>0.99977321624974391</v>
      </c>
      <c r="L220" s="4">
        <f t="shared" si="47"/>
        <v>5.4909950406679245E-2</v>
      </c>
      <c r="M220" s="4">
        <f t="shared" si="48"/>
        <v>0.95345487031317666</v>
      </c>
    </row>
    <row r="221" spans="1:13" x14ac:dyDescent="0.4">
      <c r="A221" s="1">
        <f t="shared" si="38"/>
        <v>10.950000000000021</v>
      </c>
      <c r="B221" s="1">
        <f t="shared" si="37"/>
        <v>0.2</v>
      </c>
      <c r="C221" s="1">
        <v>0.2</v>
      </c>
      <c r="D221" s="1">
        <f t="shared" si="39"/>
        <v>0</v>
      </c>
      <c r="E221" s="1">
        <f t="shared" si="40"/>
        <v>0</v>
      </c>
      <c r="F221" s="1">
        <f t="shared" si="41"/>
        <v>0.2</v>
      </c>
      <c r="G221" s="4">
        <f t="shared" si="42"/>
        <v>0</v>
      </c>
      <c r="H221" s="4">
        <f t="shared" si="43"/>
        <v>-4.6910914536463073</v>
      </c>
      <c r="I221" s="3">
        <f t="shared" si="44"/>
        <v>-268.77974160382365</v>
      </c>
      <c r="J221" s="2">
        <f t="shared" si="45"/>
        <v>-2.1295916736378481E-2</v>
      </c>
      <c r="K221" s="2">
        <f t="shared" si="46"/>
        <v>0.99977321624974391</v>
      </c>
      <c r="L221" s="4">
        <f t="shared" si="47"/>
        <v>5.4696991239315457E-2</v>
      </c>
      <c r="M221" s="4">
        <f t="shared" si="48"/>
        <v>0.9634526024756741</v>
      </c>
    </row>
    <row r="222" spans="1:13" x14ac:dyDescent="0.4">
      <c r="A222" s="1">
        <f t="shared" si="38"/>
        <v>11.000000000000021</v>
      </c>
      <c r="B222" s="1">
        <f t="shared" si="37"/>
        <v>0.2</v>
      </c>
      <c r="C222" s="1">
        <v>0.2</v>
      </c>
      <c r="D222" s="1">
        <f t="shared" si="39"/>
        <v>0</v>
      </c>
      <c r="E222" s="1">
        <f t="shared" si="40"/>
        <v>0</v>
      </c>
      <c r="F222" s="1">
        <f t="shared" si="41"/>
        <v>0.2</v>
      </c>
      <c r="G222" s="4">
        <f t="shared" si="42"/>
        <v>0</v>
      </c>
      <c r="H222" s="4">
        <f t="shared" si="43"/>
        <v>-4.6910914536463073</v>
      </c>
      <c r="I222" s="3">
        <f t="shared" si="44"/>
        <v>-268.77974160382365</v>
      </c>
      <c r="J222" s="2">
        <f t="shared" si="45"/>
        <v>-2.1295916736378481E-2</v>
      </c>
      <c r="K222" s="2">
        <f t="shared" si="46"/>
        <v>0.99977321624974391</v>
      </c>
      <c r="L222" s="4">
        <f t="shared" si="47"/>
        <v>5.4484032071951669E-2</v>
      </c>
      <c r="M222" s="4">
        <f t="shared" si="48"/>
        <v>0.97345033463817154</v>
      </c>
    </row>
    <row r="223" spans="1:13" x14ac:dyDescent="0.4">
      <c r="A223" s="1">
        <f t="shared" si="38"/>
        <v>11.050000000000022</v>
      </c>
      <c r="B223" s="1">
        <f t="shared" si="37"/>
        <v>0.2</v>
      </c>
      <c r="C223" s="1">
        <v>0.2</v>
      </c>
      <c r="D223" s="1">
        <f t="shared" si="39"/>
        <v>0</v>
      </c>
      <c r="E223" s="1">
        <f t="shared" si="40"/>
        <v>0</v>
      </c>
      <c r="F223" s="1">
        <f t="shared" si="41"/>
        <v>0.2</v>
      </c>
      <c r="G223" s="4">
        <f t="shared" si="42"/>
        <v>0</v>
      </c>
      <c r="H223" s="4">
        <f t="shared" si="43"/>
        <v>-4.6910914536463073</v>
      </c>
      <c r="I223" s="3">
        <f t="shared" si="44"/>
        <v>-268.77974160382365</v>
      </c>
      <c r="J223" s="2">
        <f t="shared" si="45"/>
        <v>-2.1295916736378481E-2</v>
      </c>
      <c r="K223" s="2">
        <f t="shared" si="46"/>
        <v>0.99977321624974391</v>
      </c>
      <c r="L223" s="4">
        <f t="shared" si="47"/>
        <v>5.427107290458788E-2</v>
      </c>
      <c r="M223" s="4">
        <f t="shared" si="48"/>
        <v>0.98344806680066899</v>
      </c>
    </row>
    <row r="224" spans="1:13" x14ac:dyDescent="0.4">
      <c r="A224" s="1">
        <f t="shared" si="38"/>
        <v>11.100000000000023</v>
      </c>
      <c r="B224" s="1">
        <f t="shared" si="37"/>
        <v>0.2</v>
      </c>
      <c r="C224" s="1">
        <v>0.2</v>
      </c>
      <c r="D224" s="1">
        <f t="shared" si="39"/>
        <v>0</v>
      </c>
      <c r="E224" s="1">
        <f t="shared" si="40"/>
        <v>0</v>
      </c>
      <c r="F224" s="1">
        <f t="shared" si="41"/>
        <v>0.2</v>
      </c>
      <c r="G224" s="4">
        <f t="shared" si="42"/>
        <v>0</v>
      </c>
      <c r="H224" s="4">
        <f t="shared" si="43"/>
        <v>-4.6910914536463073</v>
      </c>
      <c r="I224" s="3">
        <f t="shared" si="44"/>
        <v>-268.77974160382365</v>
      </c>
      <c r="J224" s="2">
        <f t="shared" si="45"/>
        <v>-2.1295916736378481E-2</v>
      </c>
      <c r="K224" s="2">
        <f t="shared" si="46"/>
        <v>0.99977321624974391</v>
      </c>
      <c r="L224" s="4">
        <f t="shared" si="47"/>
        <v>5.4058113737224092E-2</v>
      </c>
      <c r="M224" s="4">
        <f t="shared" si="48"/>
        <v>0.99344579896316643</v>
      </c>
    </row>
    <row r="225" spans="1:13" x14ac:dyDescent="0.4">
      <c r="A225" s="1">
        <f t="shared" si="38"/>
        <v>11.150000000000023</v>
      </c>
      <c r="B225" s="1">
        <f t="shared" si="37"/>
        <v>0.2</v>
      </c>
      <c r="C225" s="1">
        <v>0.2</v>
      </c>
      <c r="D225" s="1">
        <f t="shared" si="39"/>
        <v>0</v>
      </c>
      <c r="E225" s="1">
        <f t="shared" si="40"/>
        <v>0</v>
      </c>
      <c r="F225" s="1">
        <f t="shared" si="41"/>
        <v>0.2</v>
      </c>
      <c r="G225" s="4">
        <f t="shared" si="42"/>
        <v>0</v>
      </c>
      <c r="H225" s="4">
        <f t="shared" si="43"/>
        <v>-4.6910914536463073</v>
      </c>
      <c r="I225" s="3">
        <f t="shared" si="44"/>
        <v>-268.77974160382365</v>
      </c>
      <c r="J225" s="2">
        <f t="shared" si="45"/>
        <v>-2.1295916736378481E-2</v>
      </c>
      <c r="K225" s="2">
        <f t="shared" si="46"/>
        <v>0.99977321624974391</v>
      </c>
      <c r="L225" s="4">
        <f t="shared" si="47"/>
        <v>5.3845154569860304E-2</v>
      </c>
      <c r="M225" s="4">
        <f t="shared" si="48"/>
        <v>1.0034435311256638</v>
      </c>
    </row>
    <row r="226" spans="1:13" x14ac:dyDescent="0.4">
      <c r="A226" s="1">
        <f t="shared" si="38"/>
        <v>11.200000000000024</v>
      </c>
      <c r="B226" s="1">
        <f t="shared" si="37"/>
        <v>0.2</v>
      </c>
      <c r="C226" s="1">
        <v>0.2</v>
      </c>
      <c r="D226" s="1">
        <f t="shared" si="39"/>
        <v>0</v>
      </c>
      <c r="E226" s="1">
        <f t="shared" si="40"/>
        <v>0</v>
      </c>
      <c r="F226" s="1">
        <f t="shared" si="41"/>
        <v>0.2</v>
      </c>
      <c r="G226" s="4">
        <f t="shared" si="42"/>
        <v>0</v>
      </c>
      <c r="H226" s="4">
        <f t="shared" si="43"/>
        <v>-4.6910914536463073</v>
      </c>
      <c r="I226" s="3">
        <f t="shared" si="44"/>
        <v>-268.77974160382365</v>
      </c>
      <c r="J226" s="2">
        <f t="shared" si="45"/>
        <v>-2.1295916736378481E-2</v>
      </c>
      <c r="K226" s="2">
        <f t="shared" si="46"/>
        <v>0.99977321624974391</v>
      </c>
      <c r="L226" s="4">
        <f t="shared" si="47"/>
        <v>5.3632195402496516E-2</v>
      </c>
      <c r="M226" s="4">
        <f t="shared" si="48"/>
        <v>1.0134412632881613</v>
      </c>
    </row>
    <row r="227" spans="1:13" x14ac:dyDescent="0.4">
      <c r="A227" s="1">
        <f t="shared" si="38"/>
        <v>11.250000000000025</v>
      </c>
      <c r="B227" s="1">
        <f t="shared" si="37"/>
        <v>0.2</v>
      </c>
      <c r="C227" s="1">
        <v>0.2</v>
      </c>
      <c r="D227" s="1">
        <f t="shared" si="39"/>
        <v>0</v>
      </c>
      <c r="E227" s="1">
        <f t="shared" si="40"/>
        <v>0</v>
      </c>
      <c r="F227" s="1">
        <f t="shared" si="41"/>
        <v>0.2</v>
      </c>
      <c r="G227" s="4">
        <f t="shared" si="42"/>
        <v>0</v>
      </c>
      <c r="H227" s="4">
        <f t="shared" si="43"/>
        <v>-4.6910914536463073</v>
      </c>
      <c r="I227" s="3">
        <f t="shared" si="44"/>
        <v>-268.77974160382365</v>
      </c>
      <c r="J227" s="2">
        <f t="shared" si="45"/>
        <v>-2.1295916736378481E-2</v>
      </c>
      <c r="K227" s="2">
        <f t="shared" si="46"/>
        <v>0.99977321624974391</v>
      </c>
      <c r="L227" s="4">
        <f t="shared" si="47"/>
        <v>5.3419236235132728E-2</v>
      </c>
      <c r="M227" s="4">
        <f t="shared" si="48"/>
        <v>1.0234389954506589</v>
      </c>
    </row>
    <row r="228" spans="1:13" x14ac:dyDescent="0.4">
      <c r="A228" s="1">
        <f t="shared" si="38"/>
        <v>11.300000000000026</v>
      </c>
      <c r="B228" s="1">
        <f t="shared" si="37"/>
        <v>0.2</v>
      </c>
      <c r="C228" s="1">
        <v>0.2</v>
      </c>
      <c r="D228" s="1">
        <f t="shared" si="39"/>
        <v>0</v>
      </c>
      <c r="E228" s="1">
        <f t="shared" si="40"/>
        <v>0</v>
      </c>
      <c r="F228" s="1">
        <f t="shared" si="41"/>
        <v>0.2</v>
      </c>
      <c r="G228" s="4">
        <f t="shared" si="42"/>
        <v>0</v>
      </c>
      <c r="H228" s="4">
        <f t="shared" si="43"/>
        <v>-4.6910914536463073</v>
      </c>
      <c r="I228" s="3">
        <f t="shared" si="44"/>
        <v>-268.77974160382365</v>
      </c>
      <c r="J228" s="2">
        <f t="shared" si="45"/>
        <v>-2.1295916736378481E-2</v>
      </c>
      <c r="K228" s="2">
        <f t="shared" si="46"/>
        <v>0.99977321624974391</v>
      </c>
      <c r="L228" s="4">
        <f t="shared" si="47"/>
        <v>5.320627706776894E-2</v>
      </c>
      <c r="M228" s="4">
        <f t="shared" si="48"/>
        <v>1.0334367276131564</v>
      </c>
    </row>
    <row r="229" spans="1:13" x14ac:dyDescent="0.4">
      <c r="A229" s="1">
        <f t="shared" si="38"/>
        <v>11.350000000000026</v>
      </c>
      <c r="B229" s="1">
        <f t="shared" si="37"/>
        <v>0.2</v>
      </c>
      <c r="C229" s="1">
        <v>0.2</v>
      </c>
      <c r="D229" s="1">
        <f t="shared" si="39"/>
        <v>0</v>
      </c>
      <c r="E229" s="1">
        <f t="shared" si="40"/>
        <v>0</v>
      </c>
      <c r="F229" s="1">
        <f t="shared" si="41"/>
        <v>0.2</v>
      </c>
      <c r="G229" s="4">
        <f t="shared" si="42"/>
        <v>0</v>
      </c>
      <c r="H229" s="4">
        <f t="shared" si="43"/>
        <v>-4.6910914536463073</v>
      </c>
      <c r="I229" s="3">
        <f t="shared" si="44"/>
        <v>-268.77974160382365</v>
      </c>
      <c r="J229" s="2">
        <f t="shared" si="45"/>
        <v>-2.1295916736378481E-2</v>
      </c>
      <c r="K229" s="2">
        <f t="shared" si="46"/>
        <v>0.99977321624974391</v>
      </c>
      <c r="L229" s="4">
        <f t="shared" si="47"/>
        <v>5.2993317900405151E-2</v>
      </c>
      <c r="M229" s="4">
        <f t="shared" si="48"/>
        <v>1.043434459775654</v>
      </c>
    </row>
    <row r="230" spans="1:13" x14ac:dyDescent="0.4">
      <c r="A230" s="1">
        <f t="shared" si="38"/>
        <v>11.400000000000027</v>
      </c>
      <c r="B230" s="1">
        <f t="shared" si="37"/>
        <v>0.2</v>
      </c>
      <c r="C230" s="1">
        <v>0.2</v>
      </c>
      <c r="D230" s="1">
        <f t="shared" si="39"/>
        <v>0</v>
      </c>
      <c r="E230" s="1">
        <f t="shared" si="40"/>
        <v>0</v>
      </c>
      <c r="F230" s="1">
        <f t="shared" si="41"/>
        <v>0.2</v>
      </c>
      <c r="G230" s="4">
        <f t="shared" si="42"/>
        <v>0</v>
      </c>
      <c r="H230" s="4">
        <f t="shared" si="43"/>
        <v>-4.6910914536463073</v>
      </c>
      <c r="I230" s="3">
        <f t="shared" si="44"/>
        <v>-268.77974160382365</v>
      </c>
      <c r="J230" s="2">
        <f t="shared" si="45"/>
        <v>-2.1295916736378481E-2</v>
      </c>
      <c r="K230" s="2">
        <f t="shared" si="46"/>
        <v>0.99977321624974391</v>
      </c>
      <c r="L230" s="4">
        <f t="shared" si="47"/>
        <v>5.2780358733041363E-2</v>
      </c>
      <c r="M230" s="4">
        <f t="shared" si="48"/>
        <v>1.0534321919381515</v>
      </c>
    </row>
    <row r="231" spans="1:13" x14ac:dyDescent="0.4">
      <c r="A231" s="1">
        <f t="shared" si="38"/>
        <v>11.450000000000028</v>
      </c>
      <c r="B231" s="1">
        <f t="shared" si="37"/>
        <v>0.2</v>
      </c>
      <c r="C231" s="1">
        <v>0.2</v>
      </c>
      <c r="D231" s="1">
        <f t="shared" si="39"/>
        <v>0</v>
      </c>
      <c r="E231" s="1">
        <f t="shared" si="40"/>
        <v>0</v>
      </c>
      <c r="F231" s="1">
        <f t="shared" si="41"/>
        <v>0.2</v>
      </c>
      <c r="G231" s="4">
        <f t="shared" si="42"/>
        <v>0</v>
      </c>
      <c r="H231" s="4">
        <f t="shared" si="43"/>
        <v>-4.6910914536463073</v>
      </c>
      <c r="I231" s="3">
        <f t="shared" si="44"/>
        <v>-268.77974160382365</v>
      </c>
      <c r="J231" s="2">
        <f t="shared" si="45"/>
        <v>-2.1295916736378481E-2</v>
      </c>
      <c r="K231" s="2">
        <f t="shared" si="46"/>
        <v>0.99977321624974391</v>
      </c>
      <c r="L231" s="4">
        <f t="shared" si="47"/>
        <v>5.2567399565677575E-2</v>
      </c>
      <c r="M231" s="4">
        <f t="shared" si="48"/>
        <v>1.0634299241006491</v>
      </c>
    </row>
    <row r="232" spans="1:13" x14ac:dyDescent="0.4">
      <c r="A232" s="1">
        <f t="shared" si="38"/>
        <v>11.500000000000028</v>
      </c>
      <c r="B232" s="1">
        <f t="shared" si="37"/>
        <v>0.2</v>
      </c>
      <c r="C232" s="1">
        <v>0.2</v>
      </c>
      <c r="D232" s="1">
        <f t="shared" si="39"/>
        <v>0</v>
      </c>
      <c r="E232" s="1">
        <f t="shared" si="40"/>
        <v>0</v>
      </c>
      <c r="F232" s="1">
        <f t="shared" si="41"/>
        <v>0.2</v>
      </c>
      <c r="G232" s="4">
        <f t="shared" si="42"/>
        <v>0</v>
      </c>
      <c r="H232" s="4">
        <f t="shared" si="43"/>
        <v>-4.6910914536463073</v>
      </c>
      <c r="I232" s="3">
        <f t="shared" si="44"/>
        <v>-268.77974160382365</v>
      </c>
      <c r="J232" s="2">
        <f t="shared" si="45"/>
        <v>-2.1295916736378481E-2</v>
      </c>
      <c r="K232" s="2">
        <f t="shared" si="46"/>
        <v>0.99977321624974391</v>
      </c>
      <c r="L232" s="4">
        <f t="shared" si="47"/>
        <v>5.2354440398313787E-2</v>
      </c>
      <c r="M232" s="4">
        <f t="shared" si="48"/>
        <v>1.0734276562631466</v>
      </c>
    </row>
    <row r="233" spans="1:13" x14ac:dyDescent="0.4">
      <c r="A233" s="1">
        <f t="shared" si="38"/>
        <v>11.550000000000029</v>
      </c>
      <c r="B233" s="1">
        <f t="shared" si="37"/>
        <v>0.2</v>
      </c>
      <c r="C233" s="1">
        <v>0.2</v>
      </c>
      <c r="D233" s="1">
        <f t="shared" si="39"/>
        <v>0</v>
      </c>
      <c r="E233" s="1">
        <f t="shared" si="40"/>
        <v>0</v>
      </c>
      <c r="F233" s="1">
        <f t="shared" si="41"/>
        <v>0.2</v>
      </c>
      <c r="G233" s="4">
        <f t="shared" si="42"/>
        <v>0</v>
      </c>
      <c r="H233" s="4">
        <f t="shared" si="43"/>
        <v>-4.6910914536463073</v>
      </c>
      <c r="I233" s="3">
        <f t="shared" si="44"/>
        <v>-268.77974160382365</v>
      </c>
      <c r="J233" s="2">
        <f t="shared" si="45"/>
        <v>-2.1295916736378481E-2</v>
      </c>
      <c r="K233" s="2">
        <f t="shared" si="46"/>
        <v>0.99977321624974391</v>
      </c>
      <c r="L233" s="4">
        <f t="shared" si="47"/>
        <v>5.2141481230949999E-2</v>
      </c>
      <c r="M233" s="4">
        <f t="shared" si="48"/>
        <v>1.0834253884256442</v>
      </c>
    </row>
    <row r="234" spans="1:13" x14ac:dyDescent="0.4">
      <c r="A234" s="1">
        <f t="shared" si="38"/>
        <v>11.60000000000003</v>
      </c>
      <c r="B234" s="1">
        <f t="shared" si="37"/>
        <v>0.2</v>
      </c>
      <c r="C234" s="1">
        <v>0.2</v>
      </c>
      <c r="D234" s="1">
        <f t="shared" si="39"/>
        <v>0</v>
      </c>
      <c r="E234" s="1">
        <f t="shared" si="40"/>
        <v>0</v>
      </c>
      <c r="F234" s="1">
        <f t="shared" si="41"/>
        <v>0.2</v>
      </c>
      <c r="G234" s="4">
        <f t="shared" si="42"/>
        <v>0</v>
      </c>
      <c r="H234" s="4">
        <f t="shared" si="43"/>
        <v>-4.6910914536463073</v>
      </c>
      <c r="I234" s="3">
        <f t="shared" si="44"/>
        <v>-268.77974160382365</v>
      </c>
      <c r="J234" s="2">
        <f t="shared" si="45"/>
        <v>-2.1295916736378481E-2</v>
      </c>
      <c r="K234" s="2">
        <f t="shared" si="46"/>
        <v>0.99977321624974391</v>
      </c>
      <c r="L234" s="4">
        <f t="shared" si="47"/>
        <v>5.192852206358621E-2</v>
      </c>
      <c r="M234" s="4">
        <f t="shared" si="48"/>
        <v>1.0934231205881417</v>
      </c>
    </row>
    <row r="235" spans="1:13" x14ac:dyDescent="0.4">
      <c r="A235" s="1">
        <f t="shared" si="38"/>
        <v>11.650000000000031</v>
      </c>
      <c r="B235" s="1">
        <f t="shared" si="37"/>
        <v>0.2</v>
      </c>
      <c r="C235" s="1">
        <v>0.2</v>
      </c>
      <c r="D235" s="1">
        <f t="shared" si="39"/>
        <v>0</v>
      </c>
      <c r="E235" s="1">
        <f t="shared" si="40"/>
        <v>0</v>
      </c>
      <c r="F235" s="1">
        <f t="shared" si="41"/>
        <v>0.2</v>
      </c>
      <c r="G235" s="4">
        <f t="shared" si="42"/>
        <v>0</v>
      </c>
      <c r="H235" s="4">
        <f t="shared" si="43"/>
        <v>-4.6910914536463073</v>
      </c>
      <c r="I235" s="3">
        <f t="shared" si="44"/>
        <v>-268.77974160382365</v>
      </c>
      <c r="J235" s="2">
        <f t="shared" si="45"/>
        <v>-2.1295916736378481E-2</v>
      </c>
      <c r="K235" s="2">
        <f t="shared" si="46"/>
        <v>0.99977321624974391</v>
      </c>
      <c r="L235" s="4">
        <f t="shared" si="47"/>
        <v>5.1715562896222422E-2</v>
      </c>
      <c r="M235" s="4">
        <f t="shared" si="48"/>
        <v>1.1034208527506393</v>
      </c>
    </row>
    <row r="236" spans="1:13" x14ac:dyDescent="0.4">
      <c r="A236" s="1">
        <f t="shared" si="38"/>
        <v>11.700000000000031</v>
      </c>
      <c r="B236" s="1">
        <f t="shared" si="37"/>
        <v>0.2</v>
      </c>
      <c r="C236" s="1">
        <v>0.2</v>
      </c>
      <c r="D236" s="1">
        <f t="shared" si="39"/>
        <v>0</v>
      </c>
      <c r="E236" s="1">
        <f t="shared" si="40"/>
        <v>0</v>
      </c>
      <c r="F236" s="1">
        <f t="shared" si="41"/>
        <v>0.2</v>
      </c>
      <c r="G236" s="4">
        <f t="shared" si="42"/>
        <v>0</v>
      </c>
      <c r="H236" s="4">
        <f t="shared" si="43"/>
        <v>-4.6910914536463073</v>
      </c>
      <c r="I236" s="3">
        <f t="shared" si="44"/>
        <v>-268.77974160382365</v>
      </c>
      <c r="J236" s="2">
        <f t="shared" si="45"/>
        <v>-2.1295916736378481E-2</v>
      </c>
      <c r="K236" s="2">
        <f t="shared" si="46"/>
        <v>0.99977321624974391</v>
      </c>
      <c r="L236" s="4">
        <f t="shared" si="47"/>
        <v>5.1502603728858634E-2</v>
      </c>
      <c r="M236" s="4">
        <f t="shared" si="48"/>
        <v>1.1134185849131368</v>
      </c>
    </row>
    <row r="237" spans="1:13" x14ac:dyDescent="0.4">
      <c r="A237" s="1">
        <f t="shared" si="38"/>
        <v>11.750000000000032</v>
      </c>
      <c r="B237" s="1">
        <f t="shared" si="37"/>
        <v>0.2</v>
      </c>
      <c r="C237" s="1">
        <v>0.2</v>
      </c>
      <c r="D237" s="1">
        <f t="shared" si="39"/>
        <v>0</v>
      </c>
      <c r="E237" s="1">
        <f t="shared" si="40"/>
        <v>0</v>
      </c>
      <c r="F237" s="1">
        <f t="shared" si="41"/>
        <v>0.2</v>
      </c>
      <c r="G237" s="4">
        <f t="shared" si="42"/>
        <v>0</v>
      </c>
      <c r="H237" s="4">
        <f t="shared" si="43"/>
        <v>-4.6910914536463073</v>
      </c>
      <c r="I237" s="3">
        <f t="shared" si="44"/>
        <v>-268.77974160382365</v>
      </c>
      <c r="J237" s="2">
        <f t="shared" si="45"/>
        <v>-2.1295916736378481E-2</v>
      </c>
      <c r="K237" s="2">
        <f t="shared" si="46"/>
        <v>0.99977321624974391</v>
      </c>
      <c r="L237" s="4">
        <f t="shared" si="47"/>
        <v>5.1289644561494846E-2</v>
      </c>
      <c r="M237" s="4">
        <f t="shared" si="48"/>
        <v>1.1234163170756344</v>
      </c>
    </row>
    <row r="238" spans="1:13" x14ac:dyDescent="0.4">
      <c r="A238" s="1">
        <f t="shared" si="38"/>
        <v>11.800000000000033</v>
      </c>
      <c r="B238" s="1">
        <f t="shared" si="37"/>
        <v>0.2</v>
      </c>
      <c r="C238" s="1">
        <v>0.2</v>
      </c>
      <c r="D238" s="1">
        <f t="shared" si="39"/>
        <v>0</v>
      </c>
      <c r="E238" s="1">
        <f t="shared" si="40"/>
        <v>0</v>
      </c>
      <c r="F238" s="1">
        <f t="shared" si="41"/>
        <v>0.2</v>
      </c>
      <c r="G238" s="4">
        <f t="shared" si="42"/>
        <v>0</v>
      </c>
      <c r="H238" s="4">
        <f t="shared" si="43"/>
        <v>-4.6910914536463073</v>
      </c>
      <c r="I238" s="3">
        <f t="shared" si="44"/>
        <v>-268.77974160382365</v>
      </c>
      <c r="J238" s="2">
        <f t="shared" si="45"/>
        <v>-2.1295916736378481E-2</v>
      </c>
      <c r="K238" s="2">
        <f t="shared" si="46"/>
        <v>0.99977321624974391</v>
      </c>
      <c r="L238" s="4">
        <f t="shared" si="47"/>
        <v>5.1076685394131058E-2</v>
      </c>
      <c r="M238" s="4">
        <f t="shared" si="48"/>
        <v>1.1334140492381319</v>
      </c>
    </row>
    <row r="239" spans="1:13" x14ac:dyDescent="0.4">
      <c r="A239" s="1">
        <f t="shared" si="38"/>
        <v>11.850000000000033</v>
      </c>
      <c r="B239" s="1">
        <f t="shared" si="37"/>
        <v>0.2</v>
      </c>
      <c r="C239" s="1">
        <v>0.2</v>
      </c>
      <c r="D239" s="1">
        <f t="shared" si="39"/>
        <v>0</v>
      </c>
      <c r="E239" s="1">
        <f t="shared" si="40"/>
        <v>0</v>
      </c>
      <c r="F239" s="1">
        <f t="shared" si="41"/>
        <v>0.2</v>
      </c>
      <c r="G239" s="4">
        <f t="shared" si="42"/>
        <v>0</v>
      </c>
      <c r="H239" s="4">
        <f t="shared" si="43"/>
        <v>-4.6910914536463073</v>
      </c>
      <c r="I239" s="3">
        <f t="shared" si="44"/>
        <v>-268.77974160382365</v>
      </c>
      <c r="J239" s="2">
        <f t="shared" si="45"/>
        <v>-2.1295916736378481E-2</v>
      </c>
      <c r="K239" s="2">
        <f t="shared" si="46"/>
        <v>0.99977321624974391</v>
      </c>
      <c r="L239" s="4">
        <f t="shared" si="47"/>
        <v>5.086372622676727E-2</v>
      </c>
      <c r="M239" s="4">
        <f t="shared" si="48"/>
        <v>1.1434117814006295</v>
      </c>
    </row>
    <row r="240" spans="1:13" x14ac:dyDescent="0.4">
      <c r="A240" s="1">
        <f t="shared" si="38"/>
        <v>11.900000000000034</v>
      </c>
      <c r="B240" s="1">
        <f t="shared" si="37"/>
        <v>0.2</v>
      </c>
      <c r="C240" s="1">
        <v>0.2</v>
      </c>
      <c r="D240" s="1">
        <f t="shared" si="39"/>
        <v>0</v>
      </c>
      <c r="E240" s="1">
        <f t="shared" si="40"/>
        <v>0</v>
      </c>
      <c r="F240" s="1">
        <f t="shared" si="41"/>
        <v>0.2</v>
      </c>
      <c r="G240" s="4">
        <f t="shared" si="42"/>
        <v>0</v>
      </c>
      <c r="H240" s="4">
        <f t="shared" si="43"/>
        <v>-4.6910914536463073</v>
      </c>
      <c r="I240" s="3">
        <f t="shared" si="44"/>
        <v>-268.77974160382365</v>
      </c>
      <c r="J240" s="2">
        <f t="shared" si="45"/>
        <v>-2.1295916736378481E-2</v>
      </c>
      <c r="K240" s="2">
        <f t="shared" si="46"/>
        <v>0.99977321624974391</v>
      </c>
      <c r="L240" s="4">
        <f t="shared" si="47"/>
        <v>5.0650767059403481E-2</v>
      </c>
      <c r="M240" s="4">
        <f t="shared" si="48"/>
        <v>1.153409513563127</v>
      </c>
    </row>
    <row r="241" spans="1:13" x14ac:dyDescent="0.4">
      <c r="A241" s="1">
        <f t="shared" si="38"/>
        <v>11.950000000000035</v>
      </c>
      <c r="B241" s="1">
        <f t="shared" si="37"/>
        <v>0.2</v>
      </c>
      <c r="C241" s="1">
        <v>0.2</v>
      </c>
      <c r="D241" s="1">
        <f t="shared" si="39"/>
        <v>0</v>
      </c>
      <c r="E241" s="1">
        <f t="shared" si="40"/>
        <v>0</v>
      </c>
      <c r="F241" s="1">
        <f t="shared" si="41"/>
        <v>0.2</v>
      </c>
      <c r="G241" s="4">
        <f t="shared" si="42"/>
        <v>0</v>
      </c>
      <c r="H241" s="4">
        <f t="shared" si="43"/>
        <v>-4.6910914536463073</v>
      </c>
      <c r="I241" s="3">
        <f t="shared" si="44"/>
        <v>-268.77974160382365</v>
      </c>
      <c r="J241" s="2">
        <f t="shared" si="45"/>
        <v>-2.1295916736378481E-2</v>
      </c>
      <c r="K241" s="2">
        <f t="shared" si="46"/>
        <v>0.99977321624974391</v>
      </c>
      <c r="L241" s="4">
        <f t="shared" si="47"/>
        <v>5.0437807892039693E-2</v>
      </c>
      <c r="M241" s="4">
        <f t="shared" si="48"/>
        <v>1.1634072457256246</v>
      </c>
    </row>
    <row r="242" spans="1:13" x14ac:dyDescent="0.4">
      <c r="A242" s="1">
        <f t="shared" si="38"/>
        <v>12.000000000000036</v>
      </c>
      <c r="B242" s="1">
        <f t="shared" si="37"/>
        <v>0.2</v>
      </c>
      <c r="C242" s="1">
        <v>0.2</v>
      </c>
      <c r="D242" s="1">
        <f t="shared" si="39"/>
        <v>0</v>
      </c>
      <c r="E242" s="1">
        <f t="shared" si="40"/>
        <v>0</v>
      </c>
      <c r="F242" s="1">
        <f t="shared" si="41"/>
        <v>0.2</v>
      </c>
      <c r="G242" s="4">
        <f t="shared" si="42"/>
        <v>0</v>
      </c>
      <c r="H242" s="4">
        <f t="shared" si="43"/>
        <v>-4.6910914536463073</v>
      </c>
      <c r="I242" s="3">
        <f t="shared" si="44"/>
        <v>-268.77974160382365</v>
      </c>
      <c r="J242" s="2">
        <f t="shared" si="45"/>
        <v>-2.1295916736378481E-2</v>
      </c>
      <c r="K242" s="2">
        <f t="shared" si="46"/>
        <v>0.99977321624974391</v>
      </c>
      <c r="L242" s="4">
        <f t="shared" si="47"/>
        <v>5.0224848724675905E-2</v>
      </c>
      <c r="M242" s="4">
        <f t="shared" si="48"/>
        <v>1.1734049778881221</v>
      </c>
    </row>
    <row r="243" spans="1:13" x14ac:dyDescent="0.4">
      <c r="A243" s="1">
        <f t="shared" si="38"/>
        <v>12.050000000000036</v>
      </c>
      <c r="B243" s="1">
        <f t="shared" si="37"/>
        <v>0.2</v>
      </c>
      <c r="C243" s="1">
        <v>0.2</v>
      </c>
      <c r="D243" s="1">
        <f t="shared" si="39"/>
        <v>0</v>
      </c>
      <c r="E243" s="1">
        <f t="shared" si="40"/>
        <v>0</v>
      </c>
      <c r="F243" s="1">
        <f t="shared" si="41"/>
        <v>0.2</v>
      </c>
      <c r="G243" s="4">
        <f t="shared" si="42"/>
        <v>0</v>
      </c>
      <c r="H243" s="4">
        <f t="shared" si="43"/>
        <v>-4.6910914536463073</v>
      </c>
      <c r="I243" s="3">
        <f t="shared" si="44"/>
        <v>-268.77974160382365</v>
      </c>
      <c r="J243" s="2">
        <f t="shared" si="45"/>
        <v>-2.1295916736378481E-2</v>
      </c>
      <c r="K243" s="2">
        <f t="shared" si="46"/>
        <v>0.99977321624974391</v>
      </c>
      <c r="L243" s="4">
        <f t="shared" si="47"/>
        <v>5.0011889557312117E-2</v>
      </c>
      <c r="M243" s="4">
        <f t="shared" si="48"/>
        <v>1.1834027100506197</v>
      </c>
    </row>
    <row r="244" spans="1:13" x14ac:dyDescent="0.4">
      <c r="A244" s="1">
        <f t="shared" si="38"/>
        <v>12.100000000000037</v>
      </c>
      <c r="B244" s="1">
        <f t="shared" si="37"/>
        <v>0.2</v>
      </c>
      <c r="C244" s="1">
        <v>0.2</v>
      </c>
      <c r="D244" s="1">
        <f t="shared" si="39"/>
        <v>0</v>
      </c>
      <c r="E244" s="1">
        <f t="shared" si="40"/>
        <v>0</v>
      </c>
      <c r="F244" s="1">
        <f t="shared" si="41"/>
        <v>0.2</v>
      </c>
      <c r="G244" s="4">
        <f t="shared" si="42"/>
        <v>0</v>
      </c>
      <c r="H244" s="4">
        <f t="shared" si="43"/>
        <v>-4.6910914536463073</v>
      </c>
      <c r="I244" s="3">
        <f t="shared" si="44"/>
        <v>-268.77974160382365</v>
      </c>
      <c r="J244" s="2">
        <f t="shared" si="45"/>
        <v>-2.1295916736378481E-2</v>
      </c>
      <c r="K244" s="2">
        <f t="shared" si="46"/>
        <v>0.99977321624974391</v>
      </c>
      <c r="L244" s="4">
        <f t="shared" si="47"/>
        <v>4.9798930389948329E-2</v>
      </c>
      <c r="M244" s="4">
        <f t="shared" si="48"/>
        <v>1.1934004422131173</v>
      </c>
    </row>
    <row r="245" spans="1:13" x14ac:dyDescent="0.4">
      <c r="A245" s="1">
        <f t="shared" si="38"/>
        <v>12.150000000000038</v>
      </c>
      <c r="B245" s="1">
        <f t="shared" ref="B245:B308" si="49">B244</f>
        <v>0.2</v>
      </c>
      <c r="C245" s="1">
        <v>0.2</v>
      </c>
      <c r="D245" s="1">
        <f t="shared" si="39"/>
        <v>0</v>
      </c>
      <c r="E245" s="1">
        <f t="shared" si="40"/>
        <v>0</v>
      </c>
      <c r="F245" s="1">
        <f t="shared" si="41"/>
        <v>0.2</v>
      </c>
      <c r="G245" s="4">
        <f t="shared" si="42"/>
        <v>0</v>
      </c>
      <c r="H245" s="4">
        <f t="shared" si="43"/>
        <v>-4.6910914536463073</v>
      </c>
      <c r="I245" s="3">
        <f t="shared" si="44"/>
        <v>-268.77974160382365</v>
      </c>
      <c r="J245" s="2">
        <f t="shared" si="45"/>
        <v>-2.1295916736378481E-2</v>
      </c>
      <c r="K245" s="2">
        <f t="shared" si="46"/>
        <v>0.99977321624974391</v>
      </c>
      <c r="L245" s="4">
        <f t="shared" si="47"/>
        <v>4.9585971222584541E-2</v>
      </c>
      <c r="M245" s="4">
        <f t="shared" si="48"/>
        <v>1.2033981743756148</v>
      </c>
    </row>
    <row r="246" spans="1:13" x14ac:dyDescent="0.4">
      <c r="A246" s="1">
        <f t="shared" si="38"/>
        <v>12.200000000000038</v>
      </c>
      <c r="B246" s="1">
        <f t="shared" si="49"/>
        <v>0.2</v>
      </c>
      <c r="C246" s="1">
        <v>0.2</v>
      </c>
      <c r="D246" s="1">
        <f t="shared" si="39"/>
        <v>0</v>
      </c>
      <c r="E246" s="1">
        <f t="shared" si="40"/>
        <v>0</v>
      </c>
      <c r="F246" s="1">
        <f t="shared" si="41"/>
        <v>0.2</v>
      </c>
      <c r="G246" s="4">
        <f t="shared" si="42"/>
        <v>0</v>
      </c>
      <c r="H246" s="4">
        <f t="shared" si="43"/>
        <v>-4.6910914536463073</v>
      </c>
      <c r="I246" s="3">
        <f t="shared" si="44"/>
        <v>-268.77974160382365</v>
      </c>
      <c r="J246" s="2">
        <f t="shared" si="45"/>
        <v>-2.1295916736378481E-2</v>
      </c>
      <c r="K246" s="2">
        <f t="shared" si="46"/>
        <v>0.99977321624974391</v>
      </c>
      <c r="L246" s="4">
        <f t="shared" si="47"/>
        <v>4.9373012055220752E-2</v>
      </c>
      <c r="M246" s="4">
        <f t="shared" si="48"/>
        <v>1.2133959065381124</v>
      </c>
    </row>
    <row r="247" spans="1:13" x14ac:dyDescent="0.4">
      <c r="A247" s="1">
        <f t="shared" si="38"/>
        <v>12.250000000000039</v>
      </c>
      <c r="B247" s="1">
        <f t="shared" si="49"/>
        <v>0.2</v>
      </c>
      <c r="C247" s="1">
        <v>0.2</v>
      </c>
      <c r="D247" s="1">
        <f t="shared" si="39"/>
        <v>0</v>
      </c>
      <c r="E247" s="1">
        <f t="shared" si="40"/>
        <v>0</v>
      </c>
      <c r="F247" s="1">
        <f t="shared" si="41"/>
        <v>0.2</v>
      </c>
      <c r="G247" s="4">
        <f t="shared" si="42"/>
        <v>0</v>
      </c>
      <c r="H247" s="4">
        <f t="shared" si="43"/>
        <v>-4.6910914536463073</v>
      </c>
      <c r="I247" s="3">
        <f t="shared" si="44"/>
        <v>-268.77974160382365</v>
      </c>
      <c r="J247" s="2">
        <f t="shared" si="45"/>
        <v>-2.1295916736378481E-2</v>
      </c>
      <c r="K247" s="2">
        <f t="shared" si="46"/>
        <v>0.99977321624974391</v>
      </c>
      <c r="L247" s="4">
        <f t="shared" si="47"/>
        <v>4.9160052887856964E-2</v>
      </c>
      <c r="M247" s="4">
        <f t="shared" si="48"/>
        <v>1.2233936387006099</v>
      </c>
    </row>
    <row r="248" spans="1:13" x14ac:dyDescent="0.4">
      <c r="A248" s="1">
        <f t="shared" si="38"/>
        <v>12.30000000000004</v>
      </c>
      <c r="B248" s="1">
        <f t="shared" si="49"/>
        <v>0.2</v>
      </c>
      <c r="C248" s="1">
        <v>0.2</v>
      </c>
      <c r="D248" s="1">
        <f t="shared" si="39"/>
        <v>0</v>
      </c>
      <c r="E248" s="1">
        <f t="shared" si="40"/>
        <v>0</v>
      </c>
      <c r="F248" s="1">
        <f t="shared" si="41"/>
        <v>0.2</v>
      </c>
      <c r="G248" s="4">
        <f t="shared" si="42"/>
        <v>0</v>
      </c>
      <c r="H248" s="4">
        <f t="shared" si="43"/>
        <v>-4.6910914536463073</v>
      </c>
      <c r="I248" s="3">
        <f t="shared" si="44"/>
        <v>-268.77974160382365</v>
      </c>
      <c r="J248" s="2">
        <f t="shared" si="45"/>
        <v>-2.1295916736378481E-2</v>
      </c>
      <c r="K248" s="2">
        <f t="shared" si="46"/>
        <v>0.99977321624974391</v>
      </c>
      <c r="L248" s="4">
        <f t="shared" si="47"/>
        <v>4.8947093720493176E-2</v>
      </c>
      <c r="M248" s="4">
        <f t="shared" si="48"/>
        <v>1.2333913708631075</v>
      </c>
    </row>
    <row r="249" spans="1:13" x14ac:dyDescent="0.4">
      <c r="A249" s="1">
        <f t="shared" si="38"/>
        <v>12.350000000000041</v>
      </c>
      <c r="B249" s="1">
        <f t="shared" si="49"/>
        <v>0.2</v>
      </c>
      <c r="C249" s="1">
        <v>0.2</v>
      </c>
      <c r="D249" s="1">
        <f t="shared" si="39"/>
        <v>0</v>
      </c>
      <c r="E249" s="1">
        <f t="shared" si="40"/>
        <v>0</v>
      </c>
      <c r="F249" s="1">
        <f t="shared" si="41"/>
        <v>0.2</v>
      </c>
      <c r="G249" s="4">
        <f t="shared" si="42"/>
        <v>0</v>
      </c>
      <c r="H249" s="4">
        <f t="shared" si="43"/>
        <v>-4.6910914536463073</v>
      </c>
      <c r="I249" s="3">
        <f t="shared" si="44"/>
        <v>-268.77974160382365</v>
      </c>
      <c r="J249" s="2">
        <f t="shared" si="45"/>
        <v>-2.1295916736378481E-2</v>
      </c>
      <c r="K249" s="2">
        <f t="shared" si="46"/>
        <v>0.99977321624974391</v>
      </c>
      <c r="L249" s="4">
        <f t="shared" si="47"/>
        <v>4.8734134553129388E-2</v>
      </c>
      <c r="M249" s="4">
        <f t="shared" si="48"/>
        <v>1.243389103025605</v>
      </c>
    </row>
    <row r="250" spans="1:13" x14ac:dyDescent="0.4">
      <c r="A250" s="1">
        <f t="shared" si="38"/>
        <v>12.400000000000041</v>
      </c>
      <c r="B250" s="1">
        <f t="shared" si="49"/>
        <v>0.2</v>
      </c>
      <c r="C250" s="1">
        <v>0.2</v>
      </c>
      <c r="D250" s="1">
        <f t="shared" si="39"/>
        <v>0</v>
      </c>
      <c r="E250" s="1">
        <f t="shared" si="40"/>
        <v>0</v>
      </c>
      <c r="F250" s="1">
        <f t="shared" si="41"/>
        <v>0.2</v>
      </c>
      <c r="G250" s="4">
        <f t="shared" si="42"/>
        <v>0</v>
      </c>
      <c r="H250" s="4">
        <f t="shared" si="43"/>
        <v>-4.6910914536463073</v>
      </c>
      <c r="I250" s="3">
        <f t="shared" si="44"/>
        <v>-268.77974160382365</v>
      </c>
      <c r="J250" s="2">
        <f t="shared" si="45"/>
        <v>-2.1295916736378481E-2</v>
      </c>
      <c r="K250" s="2">
        <f t="shared" si="46"/>
        <v>0.99977321624974391</v>
      </c>
      <c r="L250" s="4">
        <f t="shared" si="47"/>
        <v>4.85211753857656E-2</v>
      </c>
      <c r="M250" s="4">
        <f t="shared" si="48"/>
        <v>1.2533868351881026</v>
      </c>
    </row>
    <row r="251" spans="1:13" x14ac:dyDescent="0.4">
      <c r="A251" s="1">
        <f t="shared" si="38"/>
        <v>12.450000000000042</v>
      </c>
      <c r="B251" s="1">
        <f t="shared" si="49"/>
        <v>0.2</v>
      </c>
      <c r="C251" s="1">
        <v>0.2</v>
      </c>
      <c r="D251" s="1">
        <f t="shared" si="39"/>
        <v>0</v>
      </c>
      <c r="E251" s="1">
        <f t="shared" si="40"/>
        <v>0</v>
      </c>
      <c r="F251" s="1">
        <f t="shared" si="41"/>
        <v>0.2</v>
      </c>
      <c r="G251" s="4">
        <f t="shared" si="42"/>
        <v>0</v>
      </c>
      <c r="H251" s="4">
        <f t="shared" si="43"/>
        <v>-4.6910914536463073</v>
      </c>
      <c r="I251" s="3">
        <f t="shared" si="44"/>
        <v>-268.77974160382365</v>
      </c>
      <c r="J251" s="2">
        <f t="shared" si="45"/>
        <v>-2.1295916736378481E-2</v>
      </c>
      <c r="K251" s="2">
        <f t="shared" si="46"/>
        <v>0.99977321624974391</v>
      </c>
      <c r="L251" s="4">
        <f t="shared" si="47"/>
        <v>4.8308216218401812E-2</v>
      </c>
      <c r="M251" s="4">
        <f t="shared" si="48"/>
        <v>1.2633845673506001</v>
      </c>
    </row>
    <row r="252" spans="1:13" x14ac:dyDescent="0.4">
      <c r="A252" s="1">
        <f t="shared" si="38"/>
        <v>12.500000000000043</v>
      </c>
      <c r="B252" s="1">
        <f t="shared" si="49"/>
        <v>0.2</v>
      </c>
      <c r="C252" s="1">
        <v>0.2</v>
      </c>
      <c r="D252" s="1">
        <f t="shared" si="39"/>
        <v>0</v>
      </c>
      <c r="E252" s="1">
        <f t="shared" si="40"/>
        <v>0</v>
      </c>
      <c r="F252" s="1">
        <f t="shared" si="41"/>
        <v>0.2</v>
      </c>
      <c r="G252" s="4">
        <f t="shared" si="42"/>
        <v>0</v>
      </c>
      <c r="H252" s="4">
        <f t="shared" si="43"/>
        <v>-4.6910914536463073</v>
      </c>
      <c r="I252" s="3">
        <f t="shared" si="44"/>
        <v>-268.77974160382365</v>
      </c>
      <c r="J252" s="2">
        <f t="shared" si="45"/>
        <v>-2.1295916736378481E-2</v>
      </c>
      <c r="K252" s="2">
        <f t="shared" si="46"/>
        <v>0.99977321624974391</v>
      </c>
      <c r="L252" s="4">
        <f t="shared" si="47"/>
        <v>4.8095257051038023E-2</v>
      </c>
      <c r="M252" s="4">
        <f t="shared" si="48"/>
        <v>1.2733822995130977</v>
      </c>
    </row>
    <row r="253" spans="1:13" x14ac:dyDescent="0.4">
      <c r="A253" s="1">
        <f t="shared" si="38"/>
        <v>12.550000000000043</v>
      </c>
      <c r="B253" s="1">
        <f t="shared" si="49"/>
        <v>0.2</v>
      </c>
      <c r="C253" s="1">
        <v>0.2</v>
      </c>
      <c r="D253" s="1">
        <f t="shared" si="39"/>
        <v>0</v>
      </c>
      <c r="E253" s="1">
        <f t="shared" si="40"/>
        <v>0</v>
      </c>
      <c r="F253" s="1">
        <f t="shared" si="41"/>
        <v>0.2</v>
      </c>
      <c r="G253" s="4">
        <f t="shared" si="42"/>
        <v>0</v>
      </c>
      <c r="H253" s="4">
        <f t="shared" si="43"/>
        <v>-4.6910914536463073</v>
      </c>
      <c r="I253" s="3">
        <f t="shared" si="44"/>
        <v>-268.77974160382365</v>
      </c>
      <c r="J253" s="2">
        <f t="shared" si="45"/>
        <v>-2.1295916736378481E-2</v>
      </c>
      <c r="K253" s="2">
        <f t="shared" si="46"/>
        <v>0.99977321624974391</v>
      </c>
      <c r="L253" s="4">
        <f t="shared" si="47"/>
        <v>4.7882297883674235E-2</v>
      </c>
      <c r="M253" s="4">
        <f t="shared" si="48"/>
        <v>1.2833800316755952</v>
      </c>
    </row>
    <row r="254" spans="1:13" x14ac:dyDescent="0.4">
      <c r="A254" s="1">
        <f t="shared" si="38"/>
        <v>12.600000000000044</v>
      </c>
      <c r="B254" s="1">
        <f t="shared" si="49"/>
        <v>0.2</v>
      </c>
      <c r="C254" s="1">
        <v>0.2</v>
      </c>
      <c r="D254" s="1">
        <f t="shared" si="39"/>
        <v>0</v>
      </c>
      <c r="E254" s="1">
        <f t="shared" si="40"/>
        <v>0</v>
      </c>
      <c r="F254" s="1">
        <f t="shared" si="41"/>
        <v>0.2</v>
      </c>
      <c r="G254" s="4">
        <f t="shared" si="42"/>
        <v>0</v>
      </c>
      <c r="H254" s="4">
        <f t="shared" si="43"/>
        <v>-4.6910914536463073</v>
      </c>
      <c r="I254" s="3">
        <f t="shared" si="44"/>
        <v>-268.77974160382365</v>
      </c>
      <c r="J254" s="2">
        <f t="shared" si="45"/>
        <v>-2.1295916736378481E-2</v>
      </c>
      <c r="K254" s="2">
        <f t="shared" si="46"/>
        <v>0.99977321624974391</v>
      </c>
      <c r="L254" s="4">
        <f t="shared" si="47"/>
        <v>4.7669338716310447E-2</v>
      </c>
      <c r="M254" s="4">
        <f t="shared" si="48"/>
        <v>1.2933777638380928</v>
      </c>
    </row>
    <row r="255" spans="1:13" x14ac:dyDescent="0.4">
      <c r="A255" s="1">
        <f t="shared" si="38"/>
        <v>12.650000000000045</v>
      </c>
      <c r="B255" s="1">
        <f t="shared" si="49"/>
        <v>0.2</v>
      </c>
      <c r="C255" s="1">
        <v>0.2</v>
      </c>
      <c r="D255" s="1">
        <f t="shared" si="39"/>
        <v>0</v>
      </c>
      <c r="E255" s="1">
        <f t="shared" si="40"/>
        <v>0</v>
      </c>
      <c r="F255" s="1">
        <f t="shared" si="41"/>
        <v>0.2</v>
      </c>
      <c r="G255" s="4">
        <f t="shared" si="42"/>
        <v>0</v>
      </c>
      <c r="H255" s="4">
        <f t="shared" si="43"/>
        <v>-4.6910914536463073</v>
      </c>
      <c r="I255" s="3">
        <f t="shared" si="44"/>
        <v>-268.77974160382365</v>
      </c>
      <c r="J255" s="2">
        <f t="shared" si="45"/>
        <v>-2.1295916736378481E-2</v>
      </c>
      <c r="K255" s="2">
        <f t="shared" si="46"/>
        <v>0.99977321624974391</v>
      </c>
      <c r="L255" s="4">
        <f t="shared" si="47"/>
        <v>4.7456379548946659E-2</v>
      </c>
      <c r="M255" s="4">
        <f t="shared" si="48"/>
        <v>1.3033754960005903</v>
      </c>
    </row>
    <row r="256" spans="1:13" x14ac:dyDescent="0.4">
      <c r="A256" s="1">
        <f t="shared" si="38"/>
        <v>12.700000000000045</v>
      </c>
      <c r="B256" s="1">
        <f t="shared" si="49"/>
        <v>0.2</v>
      </c>
      <c r="C256" s="1">
        <v>0.2</v>
      </c>
      <c r="D256" s="1">
        <f t="shared" si="39"/>
        <v>0</v>
      </c>
      <c r="E256" s="1">
        <f t="shared" si="40"/>
        <v>0</v>
      </c>
      <c r="F256" s="1">
        <f t="shared" si="41"/>
        <v>0.2</v>
      </c>
      <c r="G256" s="4">
        <f t="shared" si="42"/>
        <v>0</v>
      </c>
      <c r="H256" s="4">
        <f t="shared" si="43"/>
        <v>-4.6910914536463073</v>
      </c>
      <c r="I256" s="3">
        <f t="shared" si="44"/>
        <v>-268.77974160382365</v>
      </c>
      <c r="J256" s="2">
        <f t="shared" si="45"/>
        <v>-2.1295916736378481E-2</v>
      </c>
      <c r="K256" s="2">
        <f t="shared" si="46"/>
        <v>0.99977321624974391</v>
      </c>
      <c r="L256" s="4">
        <f t="shared" si="47"/>
        <v>4.7243420381582871E-2</v>
      </c>
      <c r="M256" s="4">
        <f t="shared" si="48"/>
        <v>1.3133732281630879</v>
      </c>
    </row>
    <row r="257" spans="1:13" x14ac:dyDescent="0.4">
      <c r="A257" s="1">
        <f t="shared" si="38"/>
        <v>12.750000000000046</v>
      </c>
      <c r="B257" s="1">
        <f t="shared" si="49"/>
        <v>0.2</v>
      </c>
      <c r="C257" s="1">
        <v>0.2</v>
      </c>
      <c r="D257" s="1">
        <f t="shared" si="39"/>
        <v>0</v>
      </c>
      <c r="E257" s="1">
        <f t="shared" si="40"/>
        <v>0</v>
      </c>
      <c r="F257" s="1">
        <f t="shared" si="41"/>
        <v>0.2</v>
      </c>
      <c r="G257" s="4">
        <f t="shared" si="42"/>
        <v>0</v>
      </c>
      <c r="H257" s="4">
        <f t="shared" si="43"/>
        <v>-4.6910914536463073</v>
      </c>
      <c r="I257" s="3">
        <f t="shared" si="44"/>
        <v>-268.77974160382365</v>
      </c>
      <c r="J257" s="2">
        <f t="shared" si="45"/>
        <v>-2.1295916736378481E-2</v>
      </c>
      <c r="K257" s="2">
        <f t="shared" si="46"/>
        <v>0.99977321624974391</v>
      </c>
      <c r="L257" s="4">
        <f t="shared" si="47"/>
        <v>4.7030461214219083E-2</v>
      </c>
      <c r="M257" s="4">
        <f t="shared" si="48"/>
        <v>1.3233709603255854</v>
      </c>
    </row>
    <row r="258" spans="1:13" x14ac:dyDescent="0.4">
      <c r="A258" s="1">
        <f t="shared" si="38"/>
        <v>12.800000000000047</v>
      </c>
      <c r="B258" s="1">
        <f t="shared" si="49"/>
        <v>0.2</v>
      </c>
      <c r="C258" s="1">
        <v>0.2</v>
      </c>
      <c r="D258" s="1">
        <f t="shared" si="39"/>
        <v>0</v>
      </c>
      <c r="E258" s="1">
        <f t="shared" si="40"/>
        <v>0</v>
      </c>
      <c r="F258" s="1">
        <f t="shared" si="41"/>
        <v>0.2</v>
      </c>
      <c r="G258" s="4">
        <f t="shared" si="42"/>
        <v>0</v>
      </c>
      <c r="H258" s="4">
        <f t="shared" si="43"/>
        <v>-4.6910914536463073</v>
      </c>
      <c r="I258" s="3">
        <f t="shared" si="44"/>
        <v>-268.77974160382365</v>
      </c>
      <c r="J258" s="2">
        <f t="shared" si="45"/>
        <v>-2.1295916736378481E-2</v>
      </c>
      <c r="K258" s="2">
        <f t="shared" si="46"/>
        <v>0.99977321624974391</v>
      </c>
      <c r="L258" s="4">
        <f t="shared" si="47"/>
        <v>4.6817502046855294E-2</v>
      </c>
      <c r="M258" s="4">
        <f t="shared" si="48"/>
        <v>1.333368692488083</v>
      </c>
    </row>
    <row r="259" spans="1:13" x14ac:dyDescent="0.4">
      <c r="A259" s="1">
        <f t="shared" si="38"/>
        <v>12.850000000000048</v>
      </c>
      <c r="B259" s="1">
        <f t="shared" si="49"/>
        <v>0.2</v>
      </c>
      <c r="C259" s="1">
        <v>0.2</v>
      </c>
      <c r="D259" s="1">
        <f t="shared" si="39"/>
        <v>0</v>
      </c>
      <c r="E259" s="1">
        <f t="shared" si="40"/>
        <v>0</v>
      </c>
      <c r="F259" s="1">
        <f t="shared" si="41"/>
        <v>0.2</v>
      </c>
      <c r="G259" s="4">
        <f t="shared" si="42"/>
        <v>0</v>
      </c>
      <c r="H259" s="4">
        <f t="shared" si="43"/>
        <v>-4.6910914536463073</v>
      </c>
      <c r="I259" s="3">
        <f t="shared" si="44"/>
        <v>-268.77974160382365</v>
      </c>
      <c r="J259" s="2">
        <f t="shared" si="45"/>
        <v>-2.1295916736378481E-2</v>
      </c>
      <c r="K259" s="2">
        <f t="shared" si="46"/>
        <v>0.99977321624974391</v>
      </c>
      <c r="L259" s="4">
        <f t="shared" si="47"/>
        <v>4.6604542879491506E-2</v>
      </c>
      <c r="M259" s="4">
        <f t="shared" si="48"/>
        <v>1.3433664246505805</v>
      </c>
    </row>
    <row r="260" spans="1:13" x14ac:dyDescent="0.4">
      <c r="A260" s="1">
        <f t="shared" ref="A260:A323" si="50">A259+$P$3</f>
        <v>12.900000000000048</v>
      </c>
      <c r="B260" s="1">
        <f t="shared" si="49"/>
        <v>0.2</v>
      </c>
      <c r="C260" s="1">
        <v>0.2</v>
      </c>
      <c r="D260" s="1">
        <f t="shared" ref="D260:D323" si="51">(B260-B259)/$P$3</f>
        <v>0</v>
      </c>
      <c r="E260" s="1">
        <f t="shared" ref="E260:E323" si="52">(C260-C259)/$P$3</f>
        <v>0</v>
      </c>
      <c r="F260" s="1">
        <f t="shared" ref="F260:F323" si="53">(B260+C260)/2</f>
        <v>0.2</v>
      </c>
      <c r="G260" s="4">
        <f t="shared" ref="G260:G323" si="54">(B260-C260)/R$3</f>
        <v>0</v>
      </c>
      <c r="H260" s="4">
        <f t="shared" ref="H260:H323" si="55">H259+G260*P$3</f>
        <v>-4.6910914536463073</v>
      </c>
      <c r="I260" s="3">
        <f t="shared" ref="I260:I323" si="56">H260*180/PI()</f>
        <v>-268.77974160382365</v>
      </c>
      <c r="J260" s="2">
        <f t="shared" ref="J260:J323" si="57">COS((H260+H259)/2)</f>
        <v>-2.1295916736378481E-2</v>
      </c>
      <c r="K260" s="2">
        <f t="shared" ref="K260:K323" si="58">SIN((H260+H259)/2)</f>
        <v>0.99977321624974391</v>
      </c>
      <c r="L260" s="4">
        <f t="shared" ref="L260:L323" si="59">L259+F260*P$3*J260</f>
        <v>4.6391583712127718E-2</v>
      </c>
      <c r="M260" s="4">
        <f t="shared" ref="M260:M323" si="60">M259+F260*P$3*K260</f>
        <v>1.3533641568130781</v>
      </c>
    </row>
    <row r="261" spans="1:13" x14ac:dyDescent="0.4">
      <c r="A261" s="1">
        <f t="shared" si="50"/>
        <v>12.950000000000049</v>
      </c>
      <c r="B261" s="1">
        <f t="shared" si="49"/>
        <v>0.2</v>
      </c>
      <c r="C261" s="1">
        <v>0.2</v>
      </c>
      <c r="D261" s="1">
        <f t="shared" si="51"/>
        <v>0</v>
      </c>
      <c r="E261" s="1">
        <f t="shared" si="52"/>
        <v>0</v>
      </c>
      <c r="F261" s="1">
        <f t="shared" si="53"/>
        <v>0.2</v>
      </c>
      <c r="G261" s="4">
        <f t="shared" si="54"/>
        <v>0</v>
      </c>
      <c r="H261" s="4">
        <f t="shared" si="55"/>
        <v>-4.6910914536463073</v>
      </c>
      <c r="I261" s="3">
        <f t="shared" si="56"/>
        <v>-268.77974160382365</v>
      </c>
      <c r="J261" s="2">
        <f t="shared" si="57"/>
        <v>-2.1295916736378481E-2</v>
      </c>
      <c r="K261" s="2">
        <f t="shared" si="58"/>
        <v>0.99977321624974391</v>
      </c>
      <c r="L261" s="4">
        <f t="shared" si="59"/>
        <v>4.617862454476393E-2</v>
      </c>
      <c r="M261" s="4">
        <f t="shared" si="60"/>
        <v>1.3633618889755756</v>
      </c>
    </row>
    <row r="262" spans="1:13" x14ac:dyDescent="0.4">
      <c r="A262" s="1">
        <f t="shared" si="50"/>
        <v>13.00000000000005</v>
      </c>
      <c r="B262" s="1">
        <f t="shared" si="49"/>
        <v>0.2</v>
      </c>
      <c r="C262" s="1">
        <v>0.2</v>
      </c>
      <c r="D262" s="1">
        <f t="shared" si="51"/>
        <v>0</v>
      </c>
      <c r="E262" s="1">
        <f t="shared" si="52"/>
        <v>0</v>
      </c>
      <c r="F262" s="1">
        <f t="shared" si="53"/>
        <v>0.2</v>
      </c>
      <c r="G262" s="4">
        <f t="shared" si="54"/>
        <v>0</v>
      </c>
      <c r="H262" s="4">
        <f t="shared" si="55"/>
        <v>-4.6910914536463073</v>
      </c>
      <c r="I262" s="3">
        <f t="shared" si="56"/>
        <v>-268.77974160382365</v>
      </c>
      <c r="J262" s="2">
        <f t="shared" si="57"/>
        <v>-2.1295916736378481E-2</v>
      </c>
      <c r="K262" s="2">
        <f t="shared" si="58"/>
        <v>0.99977321624974391</v>
      </c>
      <c r="L262" s="4">
        <f t="shared" si="59"/>
        <v>4.5965665377400142E-2</v>
      </c>
      <c r="M262" s="4">
        <f t="shared" si="60"/>
        <v>1.3733596211380732</v>
      </c>
    </row>
    <row r="263" spans="1:13" x14ac:dyDescent="0.4">
      <c r="A263" s="1">
        <f t="shared" si="50"/>
        <v>13.05000000000005</v>
      </c>
      <c r="B263" s="1">
        <f t="shared" si="49"/>
        <v>0.2</v>
      </c>
      <c r="C263" s="1">
        <v>0.2</v>
      </c>
      <c r="D263" s="1">
        <f t="shared" si="51"/>
        <v>0</v>
      </c>
      <c r="E263" s="1">
        <f t="shared" si="52"/>
        <v>0</v>
      </c>
      <c r="F263" s="1">
        <f t="shared" si="53"/>
        <v>0.2</v>
      </c>
      <c r="G263" s="4">
        <f t="shared" si="54"/>
        <v>0</v>
      </c>
      <c r="H263" s="4">
        <f t="shared" si="55"/>
        <v>-4.6910914536463073</v>
      </c>
      <c r="I263" s="3">
        <f t="shared" si="56"/>
        <v>-268.77974160382365</v>
      </c>
      <c r="J263" s="2">
        <f t="shared" si="57"/>
        <v>-2.1295916736378481E-2</v>
      </c>
      <c r="K263" s="2">
        <f t="shared" si="58"/>
        <v>0.99977321624974391</v>
      </c>
      <c r="L263" s="4">
        <f t="shared" si="59"/>
        <v>4.5752706210036354E-2</v>
      </c>
      <c r="M263" s="4">
        <f t="shared" si="60"/>
        <v>1.3833573533005707</v>
      </c>
    </row>
    <row r="264" spans="1:13" x14ac:dyDescent="0.4">
      <c r="A264" s="1">
        <f t="shared" si="50"/>
        <v>13.100000000000051</v>
      </c>
      <c r="B264" s="1">
        <f t="shared" si="49"/>
        <v>0.2</v>
      </c>
      <c r="C264" s="1">
        <v>0.2</v>
      </c>
      <c r="D264" s="1">
        <f t="shared" si="51"/>
        <v>0</v>
      </c>
      <c r="E264" s="1">
        <f t="shared" si="52"/>
        <v>0</v>
      </c>
      <c r="F264" s="1">
        <f t="shared" si="53"/>
        <v>0.2</v>
      </c>
      <c r="G264" s="4">
        <f t="shared" si="54"/>
        <v>0</v>
      </c>
      <c r="H264" s="4">
        <f t="shared" si="55"/>
        <v>-4.6910914536463073</v>
      </c>
      <c r="I264" s="3">
        <f t="shared" si="56"/>
        <v>-268.77974160382365</v>
      </c>
      <c r="J264" s="2">
        <f t="shared" si="57"/>
        <v>-2.1295916736378481E-2</v>
      </c>
      <c r="K264" s="2">
        <f t="shared" si="58"/>
        <v>0.99977321624974391</v>
      </c>
      <c r="L264" s="4">
        <f t="shared" si="59"/>
        <v>4.5539747042672565E-2</v>
      </c>
      <c r="M264" s="4">
        <f t="shared" si="60"/>
        <v>1.3933550854630683</v>
      </c>
    </row>
    <row r="265" spans="1:13" x14ac:dyDescent="0.4">
      <c r="A265" s="1">
        <f t="shared" si="50"/>
        <v>13.150000000000052</v>
      </c>
      <c r="B265" s="1">
        <f t="shared" si="49"/>
        <v>0.2</v>
      </c>
      <c r="C265" s="1">
        <v>0.2</v>
      </c>
      <c r="D265" s="1">
        <f t="shared" si="51"/>
        <v>0</v>
      </c>
      <c r="E265" s="1">
        <f t="shared" si="52"/>
        <v>0</v>
      </c>
      <c r="F265" s="1">
        <f t="shared" si="53"/>
        <v>0.2</v>
      </c>
      <c r="G265" s="4">
        <f t="shared" si="54"/>
        <v>0</v>
      </c>
      <c r="H265" s="4">
        <f t="shared" si="55"/>
        <v>-4.6910914536463073</v>
      </c>
      <c r="I265" s="3">
        <f t="shared" si="56"/>
        <v>-268.77974160382365</v>
      </c>
      <c r="J265" s="2">
        <f t="shared" si="57"/>
        <v>-2.1295916736378481E-2</v>
      </c>
      <c r="K265" s="2">
        <f t="shared" si="58"/>
        <v>0.99977321624974391</v>
      </c>
      <c r="L265" s="4">
        <f t="shared" si="59"/>
        <v>4.5326787875308777E-2</v>
      </c>
      <c r="M265" s="4">
        <f t="shared" si="60"/>
        <v>1.4033528176255659</v>
      </c>
    </row>
    <row r="266" spans="1:13" x14ac:dyDescent="0.4">
      <c r="A266" s="1">
        <f t="shared" si="50"/>
        <v>13.200000000000053</v>
      </c>
      <c r="B266" s="1">
        <f t="shared" si="49"/>
        <v>0.2</v>
      </c>
      <c r="C266" s="1">
        <v>0.2</v>
      </c>
      <c r="D266" s="1">
        <f t="shared" si="51"/>
        <v>0</v>
      </c>
      <c r="E266" s="1">
        <f t="shared" si="52"/>
        <v>0</v>
      </c>
      <c r="F266" s="1">
        <f t="shared" si="53"/>
        <v>0.2</v>
      </c>
      <c r="G266" s="4">
        <f t="shared" si="54"/>
        <v>0</v>
      </c>
      <c r="H266" s="4">
        <f t="shared" si="55"/>
        <v>-4.6910914536463073</v>
      </c>
      <c r="I266" s="3">
        <f t="shared" si="56"/>
        <v>-268.77974160382365</v>
      </c>
      <c r="J266" s="2">
        <f t="shared" si="57"/>
        <v>-2.1295916736378481E-2</v>
      </c>
      <c r="K266" s="2">
        <f t="shared" si="58"/>
        <v>0.99977321624974391</v>
      </c>
      <c r="L266" s="4">
        <f t="shared" si="59"/>
        <v>4.5113828707944989E-2</v>
      </c>
      <c r="M266" s="4">
        <f t="shared" si="60"/>
        <v>1.4133505497880634</v>
      </c>
    </row>
    <row r="267" spans="1:13" x14ac:dyDescent="0.4">
      <c r="A267" s="1">
        <f t="shared" si="50"/>
        <v>13.250000000000053</v>
      </c>
      <c r="B267" s="1">
        <f t="shared" si="49"/>
        <v>0.2</v>
      </c>
      <c r="C267" s="1">
        <v>0.2</v>
      </c>
      <c r="D267" s="1">
        <f t="shared" si="51"/>
        <v>0</v>
      </c>
      <c r="E267" s="1">
        <f t="shared" si="52"/>
        <v>0</v>
      </c>
      <c r="F267" s="1">
        <f t="shared" si="53"/>
        <v>0.2</v>
      </c>
      <c r="G267" s="4">
        <f t="shared" si="54"/>
        <v>0</v>
      </c>
      <c r="H267" s="4">
        <f t="shared" si="55"/>
        <v>-4.6910914536463073</v>
      </c>
      <c r="I267" s="3">
        <f t="shared" si="56"/>
        <v>-268.77974160382365</v>
      </c>
      <c r="J267" s="2">
        <f t="shared" si="57"/>
        <v>-2.1295916736378481E-2</v>
      </c>
      <c r="K267" s="2">
        <f t="shared" si="58"/>
        <v>0.99977321624974391</v>
      </c>
      <c r="L267" s="4">
        <f t="shared" si="59"/>
        <v>4.4900869540581201E-2</v>
      </c>
      <c r="M267" s="4">
        <f t="shared" si="60"/>
        <v>1.423348281950561</v>
      </c>
    </row>
    <row r="268" spans="1:13" x14ac:dyDescent="0.4">
      <c r="A268" s="1">
        <f t="shared" si="50"/>
        <v>13.300000000000054</v>
      </c>
      <c r="B268" s="1">
        <f t="shared" si="49"/>
        <v>0.2</v>
      </c>
      <c r="C268" s="1">
        <v>0.2</v>
      </c>
      <c r="D268" s="1">
        <f t="shared" si="51"/>
        <v>0</v>
      </c>
      <c r="E268" s="1">
        <f t="shared" si="52"/>
        <v>0</v>
      </c>
      <c r="F268" s="1">
        <f t="shared" si="53"/>
        <v>0.2</v>
      </c>
      <c r="G268" s="4">
        <f t="shared" si="54"/>
        <v>0</v>
      </c>
      <c r="H268" s="4">
        <f t="shared" si="55"/>
        <v>-4.6910914536463073</v>
      </c>
      <c r="I268" s="3">
        <f t="shared" si="56"/>
        <v>-268.77974160382365</v>
      </c>
      <c r="J268" s="2">
        <f t="shared" si="57"/>
        <v>-2.1295916736378481E-2</v>
      </c>
      <c r="K268" s="2">
        <f t="shared" si="58"/>
        <v>0.99977321624974391</v>
      </c>
      <c r="L268" s="4">
        <f t="shared" si="59"/>
        <v>4.4687910373217413E-2</v>
      </c>
      <c r="M268" s="4">
        <f t="shared" si="60"/>
        <v>1.4333460141130585</v>
      </c>
    </row>
    <row r="269" spans="1:13" x14ac:dyDescent="0.4">
      <c r="A269" s="1">
        <f t="shared" si="50"/>
        <v>13.350000000000055</v>
      </c>
      <c r="B269" s="1">
        <f t="shared" si="49"/>
        <v>0.2</v>
      </c>
      <c r="C269" s="1">
        <v>0.2</v>
      </c>
      <c r="D269" s="1">
        <f t="shared" si="51"/>
        <v>0</v>
      </c>
      <c r="E269" s="1">
        <f t="shared" si="52"/>
        <v>0</v>
      </c>
      <c r="F269" s="1">
        <f t="shared" si="53"/>
        <v>0.2</v>
      </c>
      <c r="G269" s="4">
        <f t="shared" si="54"/>
        <v>0</v>
      </c>
      <c r="H269" s="4">
        <f t="shared" si="55"/>
        <v>-4.6910914536463073</v>
      </c>
      <c r="I269" s="3">
        <f t="shared" si="56"/>
        <v>-268.77974160382365</v>
      </c>
      <c r="J269" s="2">
        <f t="shared" si="57"/>
        <v>-2.1295916736378481E-2</v>
      </c>
      <c r="K269" s="2">
        <f t="shared" si="58"/>
        <v>0.99977321624974391</v>
      </c>
      <c r="L269" s="4">
        <f t="shared" si="59"/>
        <v>4.4474951205853624E-2</v>
      </c>
      <c r="M269" s="4">
        <f t="shared" si="60"/>
        <v>1.4433437462755561</v>
      </c>
    </row>
    <row r="270" spans="1:13" x14ac:dyDescent="0.4">
      <c r="A270" s="1">
        <f t="shared" si="50"/>
        <v>13.400000000000055</v>
      </c>
      <c r="B270" s="1">
        <f t="shared" si="49"/>
        <v>0.2</v>
      </c>
      <c r="C270" s="1">
        <v>0.2</v>
      </c>
      <c r="D270" s="1">
        <f t="shared" si="51"/>
        <v>0</v>
      </c>
      <c r="E270" s="1">
        <f t="shared" si="52"/>
        <v>0</v>
      </c>
      <c r="F270" s="1">
        <f t="shared" si="53"/>
        <v>0.2</v>
      </c>
      <c r="G270" s="4">
        <f t="shared" si="54"/>
        <v>0</v>
      </c>
      <c r="H270" s="4">
        <f t="shared" si="55"/>
        <v>-4.6910914536463073</v>
      </c>
      <c r="I270" s="3">
        <f t="shared" si="56"/>
        <v>-268.77974160382365</v>
      </c>
      <c r="J270" s="2">
        <f t="shared" si="57"/>
        <v>-2.1295916736378481E-2</v>
      </c>
      <c r="K270" s="2">
        <f t="shared" si="58"/>
        <v>0.99977321624974391</v>
      </c>
      <c r="L270" s="4">
        <f t="shared" si="59"/>
        <v>4.4261992038489836E-2</v>
      </c>
      <c r="M270" s="4">
        <f t="shared" si="60"/>
        <v>1.4533414784380536</v>
      </c>
    </row>
    <row r="271" spans="1:13" x14ac:dyDescent="0.4">
      <c r="A271" s="1">
        <f t="shared" si="50"/>
        <v>13.450000000000056</v>
      </c>
      <c r="B271" s="1">
        <f t="shared" si="49"/>
        <v>0.2</v>
      </c>
      <c r="C271" s="1">
        <v>0.2</v>
      </c>
      <c r="D271" s="1">
        <f t="shared" si="51"/>
        <v>0</v>
      </c>
      <c r="E271" s="1">
        <f t="shared" si="52"/>
        <v>0</v>
      </c>
      <c r="F271" s="1">
        <f t="shared" si="53"/>
        <v>0.2</v>
      </c>
      <c r="G271" s="4">
        <f t="shared" si="54"/>
        <v>0</v>
      </c>
      <c r="H271" s="4">
        <f t="shared" si="55"/>
        <v>-4.6910914536463073</v>
      </c>
      <c r="I271" s="3">
        <f t="shared" si="56"/>
        <v>-268.77974160382365</v>
      </c>
      <c r="J271" s="2">
        <f t="shared" si="57"/>
        <v>-2.1295916736378481E-2</v>
      </c>
      <c r="K271" s="2">
        <f t="shared" si="58"/>
        <v>0.99977321624974391</v>
      </c>
      <c r="L271" s="4">
        <f t="shared" si="59"/>
        <v>4.4049032871126048E-2</v>
      </c>
      <c r="M271" s="4">
        <f t="shared" si="60"/>
        <v>1.4633392106005512</v>
      </c>
    </row>
    <row r="272" spans="1:13" x14ac:dyDescent="0.4">
      <c r="A272" s="1">
        <f t="shared" si="50"/>
        <v>13.500000000000057</v>
      </c>
      <c r="B272" s="1">
        <f t="shared" si="49"/>
        <v>0.2</v>
      </c>
      <c r="C272" s="1">
        <v>0.2</v>
      </c>
      <c r="D272" s="1">
        <f t="shared" si="51"/>
        <v>0</v>
      </c>
      <c r="E272" s="1">
        <f t="shared" si="52"/>
        <v>0</v>
      </c>
      <c r="F272" s="1">
        <f t="shared" si="53"/>
        <v>0.2</v>
      </c>
      <c r="G272" s="4">
        <f t="shared" si="54"/>
        <v>0</v>
      </c>
      <c r="H272" s="4">
        <f t="shared" si="55"/>
        <v>-4.6910914536463073</v>
      </c>
      <c r="I272" s="3">
        <f t="shared" si="56"/>
        <v>-268.77974160382365</v>
      </c>
      <c r="J272" s="2">
        <f t="shared" si="57"/>
        <v>-2.1295916736378481E-2</v>
      </c>
      <c r="K272" s="2">
        <f t="shared" si="58"/>
        <v>0.99977321624974391</v>
      </c>
      <c r="L272" s="4">
        <f t="shared" si="59"/>
        <v>4.383607370376226E-2</v>
      </c>
      <c r="M272" s="4">
        <f t="shared" si="60"/>
        <v>1.4733369427630487</v>
      </c>
    </row>
    <row r="273" spans="1:13" x14ac:dyDescent="0.4">
      <c r="A273" s="1">
        <f t="shared" si="50"/>
        <v>13.550000000000058</v>
      </c>
      <c r="B273" s="1">
        <f t="shared" si="49"/>
        <v>0.2</v>
      </c>
      <c r="C273" s="1">
        <v>0.2</v>
      </c>
      <c r="D273" s="1">
        <f t="shared" si="51"/>
        <v>0</v>
      </c>
      <c r="E273" s="1">
        <f t="shared" si="52"/>
        <v>0</v>
      </c>
      <c r="F273" s="1">
        <f t="shared" si="53"/>
        <v>0.2</v>
      </c>
      <c r="G273" s="4">
        <f t="shared" si="54"/>
        <v>0</v>
      </c>
      <c r="H273" s="4">
        <f t="shared" si="55"/>
        <v>-4.6910914536463073</v>
      </c>
      <c r="I273" s="3">
        <f t="shared" si="56"/>
        <v>-268.77974160382365</v>
      </c>
      <c r="J273" s="2">
        <f t="shared" si="57"/>
        <v>-2.1295916736378481E-2</v>
      </c>
      <c r="K273" s="2">
        <f t="shared" si="58"/>
        <v>0.99977321624974391</v>
      </c>
      <c r="L273" s="4">
        <f t="shared" si="59"/>
        <v>4.3623114536398472E-2</v>
      </c>
      <c r="M273" s="4">
        <f t="shared" si="60"/>
        <v>1.4833346749255463</v>
      </c>
    </row>
    <row r="274" spans="1:13" x14ac:dyDescent="0.4">
      <c r="A274" s="1">
        <f t="shared" si="50"/>
        <v>13.600000000000058</v>
      </c>
      <c r="B274" s="1">
        <f t="shared" si="49"/>
        <v>0.2</v>
      </c>
      <c r="C274" s="1">
        <v>0.2</v>
      </c>
      <c r="D274" s="1">
        <f t="shared" si="51"/>
        <v>0</v>
      </c>
      <c r="E274" s="1">
        <f t="shared" si="52"/>
        <v>0</v>
      </c>
      <c r="F274" s="1">
        <f t="shared" si="53"/>
        <v>0.2</v>
      </c>
      <c r="G274" s="4">
        <f t="shared" si="54"/>
        <v>0</v>
      </c>
      <c r="H274" s="4">
        <f t="shared" si="55"/>
        <v>-4.6910914536463073</v>
      </c>
      <c r="I274" s="3">
        <f t="shared" si="56"/>
        <v>-268.77974160382365</v>
      </c>
      <c r="J274" s="2">
        <f t="shared" si="57"/>
        <v>-2.1295916736378481E-2</v>
      </c>
      <c r="K274" s="2">
        <f t="shared" si="58"/>
        <v>0.99977321624974391</v>
      </c>
      <c r="L274" s="4">
        <f t="shared" si="59"/>
        <v>4.3410155369034684E-2</v>
      </c>
      <c r="M274" s="4">
        <f t="shared" si="60"/>
        <v>1.4933324070880438</v>
      </c>
    </row>
    <row r="275" spans="1:13" x14ac:dyDescent="0.4">
      <c r="A275" s="1">
        <f t="shared" si="50"/>
        <v>13.650000000000059</v>
      </c>
      <c r="B275" s="1">
        <f t="shared" si="49"/>
        <v>0.2</v>
      </c>
      <c r="C275" s="1">
        <v>0.2</v>
      </c>
      <c r="D275" s="1">
        <f t="shared" si="51"/>
        <v>0</v>
      </c>
      <c r="E275" s="1">
        <f t="shared" si="52"/>
        <v>0</v>
      </c>
      <c r="F275" s="1">
        <f t="shared" si="53"/>
        <v>0.2</v>
      </c>
      <c r="G275" s="4">
        <f t="shared" si="54"/>
        <v>0</v>
      </c>
      <c r="H275" s="4">
        <f t="shared" si="55"/>
        <v>-4.6910914536463073</v>
      </c>
      <c r="I275" s="3">
        <f t="shared" si="56"/>
        <v>-268.77974160382365</v>
      </c>
      <c r="J275" s="2">
        <f t="shared" si="57"/>
        <v>-2.1295916736378481E-2</v>
      </c>
      <c r="K275" s="2">
        <f t="shared" si="58"/>
        <v>0.99977321624974391</v>
      </c>
      <c r="L275" s="4">
        <f t="shared" si="59"/>
        <v>4.3197196201670895E-2</v>
      </c>
      <c r="M275" s="4">
        <f t="shared" si="60"/>
        <v>1.5033301392505414</v>
      </c>
    </row>
    <row r="276" spans="1:13" x14ac:dyDescent="0.4">
      <c r="A276" s="1">
        <f t="shared" si="50"/>
        <v>13.70000000000006</v>
      </c>
      <c r="B276" s="1">
        <f t="shared" si="49"/>
        <v>0.2</v>
      </c>
      <c r="C276" s="1">
        <v>0.2</v>
      </c>
      <c r="D276" s="1">
        <f t="shared" si="51"/>
        <v>0</v>
      </c>
      <c r="E276" s="1">
        <f t="shared" si="52"/>
        <v>0</v>
      </c>
      <c r="F276" s="1">
        <f t="shared" si="53"/>
        <v>0.2</v>
      </c>
      <c r="G276" s="4">
        <f t="shared" si="54"/>
        <v>0</v>
      </c>
      <c r="H276" s="4">
        <f t="shared" si="55"/>
        <v>-4.6910914536463073</v>
      </c>
      <c r="I276" s="3">
        <f t="shared" si="56"/>
        <v>-268.77974160382365</v>
      </c>
      <c r="J276" s="2">
        <f t="shared" si="57"/>
        <v>-2.1295916736378481E-2</v>
      </c>
      <c r="K276" s="2">
        <f t="shared" si="58"/>
        <v>0.99977321624974391</v>
      </c>
      <c r="L276" s="4">
        <f t="shared" si="59"/>
        <v>4.2984237034307107E-2</v>
      </c>
      <c r="M276" s="4">
        <f t="shared" si="60"/>
        <v>1.5133278714130389</v>
      </c>
    </row>
    <row r="277" spans="1:13" x14ac:dyDescent="0.4">
      <c r="A277" s="1">
        <f t="shared" si="50"/>
        <v>13.75000000000006</v>
      </c>
      <c r="B277" s="1">
        <f t="shared" si="49"/>
        <v>0.2</v>
      </c>
      <c r="C277" s="1">
        <v>0.2</v>
      </c>
      <c r="D277" s="1">
        <f t="shared" si="51"/>
        <v>0</v>
      </c>
      <c r="E277" s="1">
        <f t="shared" si="52"/>
        <v>0</v>
      </c>
      <c r="F277" s="1">
        <f t="shared" si="53"/>
        <v>0.2</v>
      </c>
      <c r="G277" s="4">
        <f t="shared" si="54"/>
        <v>0</v>
      </c>
      <c r="H277" s="4">
        <f t="shared" si="55"/>
        <v>-4.6910914536463073</v>
      </c>
      <c r="I277" s="3">
        <f t="shared" si="56"/>
        <v>-268.77974160382365</v>
      </c>
      <c r="J277" s="2">
        <f t="shared" si="57"/>
        <v>-2.1295916736378481E-2</v>
      </c>
      <c r="K277" s="2">
        <f t="shared" si="58"/>
        <v>0.99977321624974391</v>
      </c>
      <c r="L277" s="4">
        <f t="shared" si="59"/>
        <v>4.2771277866943319E-2</v>
      </c>
      <c r="M277" s="4">
        <f t="shared" si="60"/>
        <v>1.5233256035755365</v>
      </c>
    </row>
    <row r="278" spans="1:13" x14ac:dyDescent="0.4">
      <c r="A278" s="1">
        <f t="shared" si="50"/>
        <v>13.800000000000061</v>
      </c>
      <c r="B278" s="1">
        <f t="shared" si="49"/>
        <v>0.2</v>
      </c>
      <c r="C278" s="1">
        <v>0.2</v>
      </c>
      <c r="D278" s="1">
        <f t="shared" si="51"/>
        <v>0</v>
      </c>
      <c r="E278" s="1">
        <f t="shared" si="52"/>
        <v>0</v>
      </c>
      <c r="F278" s="1">
        <f t="shared" si="53"/>
        <v>0.2</v>
      </c>
      <c r="G278" s="4">
        <f t="shared" si="54"/>
        <v>0</v>
      </c>
      <c r="H278" s="4">
        <f t="shared" si="55"/>
        <v>-4.6910914536463073</v>
      </c>
      <c r="I278" s="3">
        <f t="shared" si="56"/>
        <v>-268.77974160382365</v>
      </c>
      <c r="J278" s="2">
        <f t="shared" si="57"/>
        <v>-2.1295916736378481E-2</v>
      </c>
      <c r="K278" s="2">
        <f t="shared" si="58"/>
        <v>0.99977321624974391</v>
      </c>
      <c r="L278" s="4">
        <f t="shared" si="59"/>
        <v>4.2558318699579531E-2</v>
      </c>
      <c r="M278" s="4">
        <f t="shared" si="60"/>
        <v>1.533323335738034</v>
      </c>
    </row>
    <row r="279" spans="1:13" x14ac:dyDescent="0.4">
      <c r="A279" s="1">
        <f t="shared" si="50"/>
        <v>13.850000000000062</v>
      </c>
      <c r="B279" s="1">
        <f t="shared" si="49"/>
        <v>0.2</v>
      </c>
      <c r="C279" s="1">
        <v>0.2</v>
      </c>
      <c r="D279" s="1">
        <f t="shared" si="51"/>
        <v>0</v>
      </c>
      <c r="E279" s="1">
        <f t="shared" si="52"/>
        <v>0</v>
      </c>
      <c r="F279" s="1">
        <f t="shared" si="53"/>
        <v>0.2</v>
      </c>
      <c r="G279" s="4">
        <f t="shared" si="54"/>
        <v>0</v>
      </c>
      <c r="H279" s="4">
        <f t="shared" si="55"/>
        <v>-4.6910914536463073</v>
      </c>
      <c r="I279" s="3">
        <f t="shared" si="56"/>
        <v>-268.77974160382365</v>
      </c>
      <c r="J279" s="2">
        <f t="shared" si="57"/>
        <v>-2.1295916736378481E-2</v>
      </c>
      <c r="K279" s="2">
        <f t="shared" si="58"/>
        <v>0.99977321624974391</v>
      </c>
      <c r="L279" s="4">
        <f t="shared" si="59"/>
        <v>4.2345359532215743E-2</v>
      </c>
      <c r="M279" s="4">
        <f t="shared" si="60"/>
        <v>1.5433210679005316</v>
      </c>
    </row>
    <row r="280" spans="1:13" x14ac:dyDescent="0.4">
      <c r="A280" s="1">
        <f t="shared" si="50"/>
        <v>13.900000000000063</v>
      </c>
      <c r="B280" s="1">
        <f t="shared" si="49"/>
        <v>0.2</v>
      </c>
      <c r="C280" s="1">
        <v>0.2</v>
      </c>
      <c r="D280" s="1">
        <f t="shared" si="51"/>
        <v>0</v>
      </c>
      <c r="E280" s="1">
        <f t="shared" si="52"/>
        <v>0</v>
      </c>
      <c r="F280" s="1">
        <f t="shared" si="53"/>
        <v>0.2</v>
      </c>
      <c r="G280" s="4">
        <f t="shared" si="54"/>
        <v>0</v>
      </c>
      <c r="H280" s="4">
        <f t="shared" si="55"/>
        <v>-4.6910914536463073</v>
      </c>
      <c r="I280" s="3">
        <f t="shared" si="56"/>
        <v>-268.77974160382365</v>
      </c>
      <c r="J280" s="2">
        <f t="shared" si="57"/>
        <v>-2.1295916736378481E-2</v>
      </c>
      <c r="K280" s="2">
        <f t="shared" si="58"/>
        <v>0.99977321624974391</v>
      </c>
      <c r="L280" s="4">
        <f t="shared" si="59"/>
        <v>4.2132400364851955E-2</v>
      </c>
      <c r="M280" s="4">
        <f t="shared" si="60"/>
        <v>1.5533188000630291</v>
      </c>
    </row>
    <row r="281" spans="1:13" x14ac:dyDescent="0.4">
      <c r="A281" s="1">
        <f t="shared" si="50"/>
        <v>13.950000000000063</v>
      </c>
      <c r="B281" s="1">
        <f t="shared" si="49"/>
        <v>0.2</v>
      </c>
      <c r="C281" s="1">
        <v>0.2</v>
      </c>
      <c r="D281" s="1">
        <f t="shared" si="51"/>
        <v>0</v>
      </c>
      <c r="E281" s="1">
        <f t="shared" si="52"/>
        <v>0</v>
      </c>
      <c r="F281" s="1">
        <f t="shared" si="53"/>
        <v>0.2</v>
      </c>
      <c r="G281" s="4">
        <f t="shared" si="54"/>
        <v>0</v>
      </c>
      <c r="H281" s="4">
        <f t="shared" si="55"/>
        <v>-4.6910914536463073</v>
      </c>
      <c r="I281" s="3">
        <f t="shared" si="56"/>
        <v>-268.77974160382365</v>
      </c>
      <c r="J281" s="2">
        <f t="shared" si="57"/>
        <v>-2.1295916736378481E-2</v>
      </c>
      <c r="K281" s="2">
        <f t="shared" si="58"/>
        <v>0.99977321624974391</v>
      </c>
      <c r="L281" s="4">
        <f t="shared" si="59"/>
        <v>4.1919441197488166E-2</v>
      </c>
      <c r="M281" s="4">
        <f t="shared" si="60"/>
        <v>1.5633165322255267</v>
      </c>
    </row>
    <row r="282" spans="1:13" x14ac:dyDescent="0.4">
      <c r="A282" s="1">
        <f t="shared" si="50"/>
        <v>14.000000000000064</v>
      </c>
      <c r="B282" s="1">
        <f t="shared" si="49"/>
        <v>0.2</v>
      </c>
      <c r="C282" s="1">
        <v>0.2</v>
      </c>
      <c r="D282" s="1">
        <f t="shared" si="51"/>
        <v>0</v>
      </c>
      <c r="E282" s="1">
        <f t="shared" si="52"/>
        <v>0</v>
      </c>
      <c r="F282" s="1">
        <f t="shared" si="53"/>
        <v>0.2</v>
      </c>
      <c r="G282" s="4">
        <f t="shared" si="54"/>
        <v>0</v>
      </c>
      <c r="H282" s="4">
        <f t="shared" si="55"/>
        <v>-4.6910914536463073</v>
      </c>
      <c r="I282" s="3">
        <f t="shared" si="56"/>
        <v>-268.77974160382365</v>
      </c>
      <c r="J282" s="2">
        <f t="shared" si="57"/>
        <v>-2.1295916736378481E-2</v>
      </c>
      <c r="K282" s="2">
        <f t="shared" si="58"/>
        <v>0.99977321624974391</v>
      </c>
      <c r="L282" s="4">
        <f t="shared" si="59"/>
        <v>4.1706482030124378E-2</v>
      </c>
      <c r="M282" s="4">
        <f t="shared" si="60"/>
        <v>1.5733142643880242</v>
      </c>
    </row>
    <row r="283" spans="1:13" x14ac:dyDescent="0.4">
      <c r="A283" s="1">
        <f t="shared" si="50"/>
        <v>14.050000000000065</v>
      </c>
      <c r="B283" s="1">
        <f t="shared" si="49"/>
        <v>0.2</v>
      </c>
      <c r="C283" s="1">
        <v>0.2</v>
      </c>
      <c r="D283" s="1">
        <f t="shared" si="51"/>
        <v>0</v>
      </c>
      <c r="E283" s="1">
        <f t="shared" si="52"/>
        <v>0</v>
      </c>
      <c r="F283" s="1">
        <f t="shared" si="53"/>
        <v>0.2</v>
      </c>
      <c r="G283" s="4">
        <f t="shared" si="54"/>
        <v>0</v>
      </c>
      <c r="H283" s="4">
        <f t="shared" si="55"/>
        <v>-4.6910914536463073</v>
      </c>
      <c r="I283" s="3">
        <f t="shared" si="56"/>
        <v>-268.77974160382365</v>
      </c>
      <c r="J283" s="2">
        <f t="shared" si="57"/>
        <v>-2.1295916736378481E-2</v>
      </c>
      <c r="K283" s="2">
        <f t="shared" si="58"/>
        <v>0.99977321624974391</v>
      </c>
      <c r="L283" s="4">
        <f t="shared" si="59"/>
        <v>4.149352286276059E-2</v>
      </c>
      <c r="M283" s="4">
        <f t="shared" si="60"/>
        <v>1.5833119965505218</v>
      </c>
    </row>
    <row r="284" spans="1:13" x14ac:dyDescent="0.4">
      <c r="A284" s="1">
        <f t="shared" si="50"/>
        <v>14.100000000000065</v>
      </c>
      <c r="B284" s="1">
        <f t="shared" si="49"/>
        <v>0.2</v>
      </c>
      <c r="C284" s="1">
        <v>0.2</v>
      </c>
      <c r="D284" s="1">
        <f t="shared" si="51"/>
        <v>0</v>
      </c>
      <c r="E284" s="1">
        <f t="shared" si="52"/>
        <v>0</v>
      </c>
      <c r="F284" s="1">
        <f t="shared" si="53"/>
        <v>0.2</v>
      </c>
      <c r="G284" s="4">
        <f t="shared" si="54"/>
        <v>0</v>
      </c>
      <c r="H284" s="4">
        <f t="shared" si="55"/>
        <v>-4.6910914536463073</v>
      </c>
      <c r="I284" s="3">
        <f t="shared" si="56"/>
        <v>-268.77974160382365</v>
      </c>
      <c r="J284" s="2">
        <f t="shared" si="57"/>
        <v>-2.1295916736378481E-2</v>
      </c>
      <c r="K284" s="2">
        <f t="shared" si="58"/>
        <v>0.99977321624974391</v>
      </c>
      <c r="L284" s="4">
        <f t="shared" si="59"/>
        <v>4.1280563695396802E-2</v>
      </c>
      <c r="M284" s="4">
        <f t="shared" si="60"/>
        <v>1.5933097287130193</v>
      </c>
    </row>
    <row r="285" spans="1:13" x14ac:dyDescent="0.4">
      <c r="A285" s="1">
        <f t="shared" si="50"/>
        <v>14.150000000000066</v>
      </c>
      <c r="B285" s="1">
        <f t="shared" si="49"/>
        <v>0.2</v>
      </c>
      <c r="C285" s="1">
        <v>0.2</v>
      </c>
      <c r="D285" s="1">
        <f t="shared" si="51"/>
        <v>0</v>
      </c>
      <c r="E285" s="1">
        <f t="shared" si="52"/>
        <v>0</v>
      </c>
      <c r="F285" s="1">
        <f t="shared" si="53"/>
        <v>0.2</v>
      </c>
      <c r="G285" s="4">
        <f t="shared" si="54"/>
        <v>0</v>
      </c>
      <c r="H285" s="4">
        <f t="shared" si="55"/>
        <v>-4.6910914536463073</v>
      </c>
      <c r="I285" s="3">
        <f t="shared" si="56"/>
        <v>-268.77974160382365</v>
      </c>
      <c r="J285" s="2">
        <f t="shared" si="57"/>
        <v>-2.1295916736378481E-2</v>
      </c>
      <c r="K285" s="2">
        <f t="shared" si="58"/>
        <v>0.99977321624974391</v>
      </c>
      <c r="L285" s="4">
        <f t="shared" si="59"/>
        <v>4.1067604528033014E-2</v>
      </c>
      <c r="M285" s="4">
        <f t="shared" si="60"/>
        <v>1.6033074608755169</v>
      </c>
    </row>
    <row r="286" spans="1:13" x14ac:dyDescent="0.4">
      <c r="A286" s="1">
        <f t="shared" si="50"/>
        <v>14.200000000000067</v>
      </c>
      <c r="B286" s="1">
        <f t="shared" si="49"/>
        <v>0.2</v>
      </c>
      <c r="C286" s="1">
        <v>0.2</v>
      </c>
      <c r="D286" s="1">
        <f t="shared" si="51"/>
        <v>0</v>
      </c>
      <c r="E286" s="1">
        <f t="shared" si="52"/>
        <v>0</v>
      </c>
      <c r="F286" s="1">
        <f t="shared" si="53"/>
        <v>0.2</v>
      </c>
      <c r="G286" s="4">
        <f t="shared" si="54"/>
        <v>0</v>
      </c>
      <c r="H286" s="4">
        <f t="shared" si="55"/>
        <v>-4.6910914536463073</v>
      </c>
      <c r="I286" s="3">
        <f t="shared" si="56"/>
        <v>-268.77974160382365</v>
      </c>
      <c r="J286" s="2">
        <f t="shared" si="57"/>
        <v>-2.1295916736378481E-2</v>
      </c>
      <c r="K286" s="2">
        <f t="shared" si="58"/>
        <v>0.99977321624974391</v>
      </c>
      <c r="L286" s="4">
        <f t="shared" si="59"/>
        <v>4.0854645360669226E-2</v>
      </c>
      <c r="M286" s="4">
        <f t="shared" si="60"/>
        <v>1.6133051930380145</v>
      </c>
    </row>
    <row r="287" spans="1:13" x14ac:dyDescent="0.4">
      <c r="A287" s="1">
        <f t="shared" si="50"/>
        <v>14.250000000000068</v>
      </c>
      <c r="B287" s="1">
        <f t="shared" si="49"/>
        <v>0.2</v>
      </c>
      <c r="C287" s="1">
        <v>0.2</v>
      </c>
      <c r="D287" s="1">
        <f t="shared" si="51"/>
        <v>0</v>
      </c>
      <c r="E287" s="1">
        <f t="shared" si="52"/>
        <v>0</v>
      </c>
      <c r="F287" s="1">
        <f t="shared" si="53"/>
        <v>0.2</v>
      </c>
      <c r="G287" s="4">
        <f t="shared" si="54"/>
        <v>0</v>
      </c>
      <c r="H287" s="4">
        <f t="shared" si="55"/>
        <v>-4.6910914536463073</v>
      </c>
      <c r="I287" s="3">
        <f t="shared" si="56"/>
        <v>-268.77974160382365</v>
      </c>
      <c r="J287" s="2">
        <f t="shared" si="57"/>
        <v>-2.1295916736378481E-2</v>
      </c>
      <c r="K287" s="2">
        <f t="shared" si="58"/>
        <v>0.99977321624974391</v>
      </c>
      <c r="L287" s="4">
        <f t="shared" si="59"/>
        <v>4.0641686193305437E-2</v>
      </c>
      <c r="M287" s="4">
        <f t="shared" si="60"/>
        <v>1.623302925200512</v>
      </c>
    </row>
    <row r="288" spans="1:13" x14ac:dyDescent="0.4">
      <c r="A288" s="1">
        <f t="shared" si="50"/>
        <v>14.300000000000068</v>
      </c>
      <c r="B288" s="1">
        <f t="shared" si="49"/>
        <v>0.2</v>
      </c>
      <c r="C288" s="1">
        <v>0.2</v>
      </c>
      <c r="D288" s="1">
        <f t="shared" si="51"/>
        <v>0</v>
      </c>
      <c r="E288" s="1">
        <f t="shared" si="52"/>
        <v>0</v>
      </c>
      <c r="F288" s="1">
        <f t="shared" si="53"/>
        <v>0.2</v>
      </c>
      <c r="G288" s="4">
        <f t="shared" si="54"/>
        <v>0</v>
      </c>
      <c r="H288" s="4">
        <f t="shared" si="55"/>
        <v>-4.6910914536463073</v>
      </c>
      <c r="I288" s="3">
        <f t="shared" si="56"/>
        <v>-268.77974160382365</v>
      </c>
      <c r="J288" s="2">
        <f t="shared" si="57"/>
        <v>-2.1295916736378481E-2</v>
      </c>
      <c r="K288" s="2">
        <f t="shared" si="58"/>
        <v>0.99977321624974391</v>
      </c>
      <c r="L288" s="4">
        <f t="shared" si="59"/>
        <v>4.0428727025941649E-2</v>
      </c>
      <c r="M288" s="4">
        <f t="shared" si="60"/>
        <v>1.6333006573630096</v>
      </c>
    </row>
    <row r="289" spans="1:13" x14ac:dyDescent="0.4">
      <c r="A289" s="1">
        <f t="shared" si="50"/>
        <v>14.350000000000069</v>
      </c>
      <c r="B289" s="1">
        <f t="shared" si="49"/>
        <v>0.2</v>
      </c>
      <c r="C289" s="1">
        <v>0.2</v>
      </c>
      <c r="D289" s="1">
        <f t="shared" si="51"/>
        <v>0</v>
      </c>
      <c r="E289" s="1">
        <f t="shared" si="52"/>
        <v>0</v>
      </c>
      <c r="F289" s="1">
        <f t="shared" si="53"/>
        <v>0.2</v>
      </c>
      <c r="G289" s="4">
        <f t="shared" si="54"/>
        <v>0</v>
      </c>
      <c r="H289" s="4">
        <f t="shared" si="55"/>
        <v>-4.6910914536463073</v>
      </c>
      <c r="I289" s="3">
        <f t="shared" si="56"/>
        <v>-268.77974160382365</v>
      </c>
      <c r="J289" s="2">
        <f t="shared" si="57"/>
        <v>-2.1295916736378481E-2</v>
      </c>
      <c r="K289" s="2">
        <f t="shared" si="58"/>
        <v>0.99977321624974391</v>
      </c>
      <c r="L289" s="4">
        <f t="shared" si="59"/>
        <v>4.0215767858577861E-2</v>
      </c>
      <c r="M289" s="4">
        <f t="shared" si="60"/>
        <v>1.6432983895255071</v>
      </c>
    </row>
    <row r="290" spans="1:13" x14ac:dyDescent="0.4">
      <c r="A290" s="1">
        <f t="shared" si="50"/>
        <v>14.40000000000007</v>
      </c>
      <c r="B290" s="1">
        <f t="shared" si="49"/>
        <v>0.2</v>
      </c>
      <c r="C290" s="1">
        <v>0.2</v>
      </c>
      <c r="D290" s="1">
        <f t="shared" si="51"/>
        <v>0</v>
      </c>
      <c r="E290" s="1">
        <f t="shared" si="52"/>
        <v>0</v>
      </c>
      <c r="F290" s="1">
        <f t="shared" si="53"/>
        <v>0.2</v>
      </c>
      <c r="G290" s="4">
        <f t="shared" si="54"/>
        <v>0</v>
      </c>
      <c r="H290" s="4">
        <f t="shared" si="55"/>
        <v>-4.6910914536463073</v>
      </c>
      <c r="I290" s="3">
        <f t="shared" si="56"/>
        <v>-268.77974160382365</v>
      </c>
      <c r="J290" s="2">
        <f t="shared" si="57"/>
        <v>-2.1295916736378481E-2</v>
      </c>
      <c r="K290" s="2">
        <f t="shared" si="58"/>
        <v>0.99977321624974391</v>
      </c>
      <c r="L290" s="4">
        <f t="shared" si="59"/>
        <v>4.0002808691214073E-2</v>
      </c>
      <c r="M290" s="4">
        <f t="shared" si="60"/>
        <v>1.6532961216880047</v>
      </c>
    </row>
    <row r="291" spans="1:13" x14ac:dyDescent="0.4">
      <c r="A291" s="1">
        <f t="shared" si="50"/>
        <v>14.45000000000007</v>
      </c>
      <c r="B291" s="1">
        <f t="shared" si="49"/>
        <v>0.2</v>
      </c>
      <c r="C291" s="1">
        <v>0.2</v>
      </c>
      <c r="D291" s="1">
        <f t="shared" si="51"/>
        <v>0</v>
      </c>
      <c r="E291" s="1">
        <f t="shared" si="52"/>
        <v>0</v>
      </c>
      <c r="F291" s="1">
        <f t="shared" si="53"/>
        <v>0.2</v>
      </c>
      <c r="G291" s="4">
        <f t="shared" si="54"/>
        <v>0</v>
      </c>
      <c r="H291" s="4">
        <f t="shared" si="55"/>
        <v>-4.6910914536463073</v>
      </c>
      <c r="I291" s="3">
        <f t="shared" si="56"/>
        <v>-268.77974160382365</v>
      </c>
      <c r="J291" s="2">
        <f t="shared" si="57"/>
        <v>-2.1295916736378481E-2</v>
      </c>
      <c r="K291" s="2">
        <f t="shared" si="58"/>
        <v>0.99977321624974391</v>
      </c>
      <c r="L291" s="4">
        <f t="shared" si="59"/>
        <v>3.9789849523850285E-2</v>
      </c>
      <c r="M291" s="4">
        <f t="shared" si="60"/>
        <v>1.6632938538505022</v>
      </c>
    </row>
    <row r="292" spans="1:13" x14ac:dyDescent="0.4">
      <c r="A292" s="1">
        <f t="shared" si="50"/>
        <v>14.500000000000071</v>
      </c>
      <c r="B292" s="1">
        <f t="shared" si="49"/>
        <v>0.2</v>
      </c>
      <c r="C292" s="1">
        <v>0.2</v>
      </c>
      <c r="D292" s="1">
        <f t="shared" si="51"/>
        <v>0</v>
      </c>
      <c r="E292" s="1">
        <f t="shared" si="52"/>
        <v>0</v>
      </c>
      <c r="F292" s="1">
        <f t="shared" si="53"/>
        <v>0.2</v>
      </c>
      <c r="G292" s="4">
        <f t="shared" si="54"/>
        <v>0</v>
      </c>
      <c r="H292" s="4">
        <f t="shared" si="55"/>
        <v>-4.6910914536463073</v>
      </c>
      <c r="I292" s="3">
        <f t="shared" si="56"/>
        <v>-268.77974160382365</v>
      </c>
      <c r="J292" s="2">
        <f t="shared" si="57"/>
        <v>-2.1295916736378481E-2</v>
      </c>
      <c r="K292" s="2">
        <f t="shared" si="58"/>
        <v>0.99977321624974391</v>
      </c>
      <c r="L292" s="4">
        <f t="shared" si="59"/>
        <v>3.9576890356486497E-2</v>
      </c>
      <c r="M292" s="4">
        <f t="shared" si="60"/>
        <v>1.6732915860129998</v>
      </c>
    </row>
    <row r="293" spans="1:13" x14ac:dyDescent="0.4">
      <c r="A293" s="1">
        <f t="shared" si="50"/>
        <v>14.550000000000072</v>
      </c>
      <c r="B293" s="1">
        <f t="shared" si="49"/>
        <v>0.2</v>
      </c>
      <c r="C293" s="1">
        <v>0.2</v>
      </c>
      <c r="D293" s="1">
        <f t="shared" si="51"/>
        <v>0</v>
      </c>
      <c r="E293" s="1">
        <f t="shared" si="52"/>
        <v>0</v>
      </c>
      <c r="F293" s="1">
        <f t="shared" si="53"/>
        <v>0.2</v>
      </c>
      <c r="G293" s="4">
        <f t="shared" si="54"/>
        <v>0</v>
      </c>
      <c r="H293" s="4">
        <f t="shared" si="55"/>
        <v>-4.6910914536463073</v>
      </c>
      <c r="I293" s="3">
        <f t="shared" si="56"/>
        <v>-268.77974160382365</v>
      </c>
      <c r="J293" s="2">
        <f t="shared" si="57"/>
        <v>-2.1295916736378481E-2</v>
      </c>
      <c r="K293" s="2">
        <f t="shared" si="58"/>
        <v>0.99977321624974391</v>
      </c>
      <c r="L293" s="4">
        <f t="shared" si="59"/>
        <v>3.9363931189122708E-2</v>
      </c>
      <c r="M293" s="4">
        <f t="shared" si="60"/>
        <v>1.6832893181754973</v>
      </c>
    </row>
    <row r="294" spans="1:13" x14ac:dyDescent="0.4">
      <c r="A294" s="1">
        <f t="shared" si="50"/>
        <v>14.600000000000072</v>
      </c>
      <c r="B294" s="1">
        <f t="shared" si="49"/>
        <v>0.2</v>
      </c>
      <c r="C294" s="1">
        <v>0.2</v>
      </c>
      <c r="D294" s="1">
        <f t="shared" si="51"/>
        <v>0</v>
      </c>
      <c r="E294" s="1">
        <f t="shared" si="52"/>
        <v>0</v>
      </c>
      <c r="F294" s="1">
        <f t="shared" si="53"/>
        <v>0.2</v>
      </c>
      <c r="G294" s="4">
        <f t="shared" si="54"/>
        <v>0</v>
      </c>
      <c r="H294" s="4">
        <f t="shared" si="55"/>
        <v>-4.6910914536463073</v>
      </c>
      <c r="I294" s="3">
        <f t="shared" si="56"/>
        <v>-268.77974160382365</v>
      </c>
      <c r="J294" s="2">
        <f t="shared" si="57"/>
        <v>-2.1295916736378481E-2</v>
      </c>
      <c r="K294" s="2">
        <f t="shared" si="58"/>
        <v>0.99977321624974391</v>
      </c>
      <c r="L294" s="4">
        <f t="shared" si="59"/>
        <v>3.915097202175892E-2</v>
      </c>
      <c r="M294" s="4">
        <f t="shared" si="60"/>
        <v>1.6932870503379949</v>
      </c>
    </row>
    <row r="295" spans="1:13" x14ac:dyDescent="0.4">
      <c r="A295" s="1">
        <f t="shared" si="50"/>
        <v>14.650000000000073</v>
      </c>
      <c r="B295" s="1">
        <f t="shared" si="49"/>
        <v>0.2</v>
      </c>
      <c r="C295" s="1">
        <v>0.2</v>
      </c>
      <c r="D295" s="1">
        <f t="shared" si="51"/>
        <v>0</v>
      </c>
      <c r="E295" s="1">
        <f t="shared" si="52"/>
        <v>0</v>
      </c>
      <c r="F295" s="1">
        <f t="shared" si="53"/>
        <v>0.2</v>
      </c>
      <c r="G295" s="4">
        <f t="shared" si="54"/>
        <v>0</v>
      </c>
      <c r="H295" s="4">
        <f t="shared" si="55"/>
        <v>-4.6910914536463073</v>
      </c>
      <c r="I295" s="3">
        <f t="shared" si="56"/>
        <v>-268.77974160382365</v>
      </c>
      <c r="J295" s="2">
        <f t="shared" si="57"/>
        <v>-2.1295916736378481E-2</v>
      </c>
      <c r="K295" s="2">
        <f t="shared" si="58"/>
        <v>0.99977321624974391</v>
      </c>
      <c r="L295" s="4">
        <f t="shared" si="59"/>
        <v>3.8938012854395132E-2</v>
      </c>
      <c r="M295" s="4">
        <f t="shared" si="60"/>
        <v>1.7032847825004924</v>
      </c>
    </row>
    <row r="296" spans="1:13" x14ac:dyDescent="0.4">
      <c r="A296" s="1">
        <f t="shared" si="50"/>
        <v>14.700000000000074</v>
      </c>
      <c r="B296" s="1">
        <f t="shared" si="49"/>
        <v>0.2</v>
      </c>
      <c r="C296" s="1">
        <v>0.2</v>
      </c>
      <c r="D296" s="1">
        <f t="shared" si="51"/>
        <v>0</v>
      </c>
      <c r="E296" s="1">
        <f t="shared" si="52"/>
        <v>0</v>
      </c>
      <c r="F296" s="1">
        <f t="shared" si="53"/>
        <v>0.2</v>
      </c>
      <c r="G296" s="4">
        <f t="shared" si="54"/>
        <v>0</v>
      </c>
      <c r="H296" s="4">
        <f t="shared" si="55"/>
        <v>-4.6910914536463073</v>
      </c>
      <c r="I296" s="3">
        <f t="shared" si="56"/>
        <v>-268.77974160382365</v>
      </c>
      <c r="J296" s="2">
        <f t="shared" si="57"/>
        <v>-2.1295916736378481E-2</v>
      </c>
      <c r="K296" s="2">
        <f t="shared" si="58"/>
        <v>0.99977321624974391</v>
      </c>
      <c r="L296" s="4">
        <f t="shared" si="59"/>
        <v>3.8725053687031344E-2</v>
      </c>
      <c r="M296" s="4">
        <f t="shared" si="60"/>
        <v>1.71328251466299</v>
      </c>
    </row>
    <row r="297" spans="1:13" x14ac:dyDescent="0.4">
      <c r="A297" s="1">
        <f t="shared" si="50"/>
        <v>14.750000000000075</v>
      </c>
      <c r="B297" s="1">
        <f t="shared" si="49"/>
        <v>0.2</v>
      </c>
      <c r="C297" s="1">
        <v>0.2</v>
      </c>
      <c r="D297" s="1">
        <f t="shared" si="51"/>
        <v>0</v>
      </c>
      <c r="E297" s="1">
        <f t="shared" si="52"/>
        <v>0</v>
      </c>
      <c r="F297" s="1">
        <f t="shared" si="53"/>
        <v>0.2</v>
      </c>
      <c r="G297" s="4">
        <f t="shared" si="54"/>
        <v>0</v>
      </c>
      <c r="H297" s="4">
        <f t="shared" si="55"/>
        <v>-4.6910914536463073</v>
      </c>
      <c r="I297" s="3">
        <f t="shared" si="56"/>
        <v>-268.77974160382365</v>
      </c>
      <c r="J297" s="2">
        <f t="shared" si="57"/>
        <v>-2.1295916736378481E-2</v>
      </c>
      <c r="K297" s="2">
        <f t="shared" si="58"/>
        <v>0.99977321624974391</v>
      </c>
      <c r="L297" s="4">
        <f t="shared" si="59"/>
        <v>3.8512094519667556E-2</v>
      </c>
      <c r="M297" s="4">
        <f t="shared" si="60"/>
        <v>1.7232802468254875</v>
      </c>
    </row>
    <row r="298" spans="1:13" x14ac:dyDescent="0.4">
      <c r="A298" s="1">
        <f t="shared" si="50"/>
        <v>14.800000000000075</v>
      </c>
      <c r="B298" s="1">
        <f t="shared" si="49"/>
        <v>0.2</v>
      </c>
      <c r="C298" s="1">
        <v>0.2</v>
      </c>
      <c r="D298" s="1">
        <f t="shared" si="51"/>
        <v>0</v>
      </c>
      <c r="E298" s="1">
        <f t="shared" si="52"/>
        <v>0</v>
      </c>
      <c r="F298" s="1">
        <f t="shared" si="53"/>
        <v>0.2</v>
      </c>
      <c r="G298" s="4">
        <f t="shared" si="54"/>
        <v>0</v>
      </c>
      <c r="H298" s="4">
        <f t="shared" si="55"/>
        <v>-4.6910914536463073</v>
      </c>
      <c r="I298" s="3">
        <f t="shared" si="56"/>
        <v>-268.77974160382365</v>
      </c>
      <c r="J298" s="2">
        <f t="shared" si="57"/>
        <v>-2.1295916736378481E-2</v>
      </c>
      <c r="K298" s="2">
        <f t="shared" si="58"/>
        <v>0.99977321624974391</v>
      </c>
      <c r="L298" s="4">
        <f t="shared" si="59"/>
        <v>3.8299135352303768E-2</v>
      </c>
      <c r="M298" s="4">
        <f t="shared" si="60"/>
        <v>1.7332779789879851</v>
      </c>
    </row>
    <row r="299" spans="1:13" x14ac:dyDescent="0.4">
      <c r="A299" s="1">
        <f t="shared" si="50"/>
        <v>14.850000000000076</v>
      </c>
      <c r="B299" s="1">
        <f t="shared" si="49"/>
        <v>0.2</v>
      </c>
      <c r="C299" s="1">
        <v>0.2</v>
      </c>
      <c r="D299" s="1">
        <f t="shared" si="51"/>
        <v>0</v>
      </c>
      <c r="E299" s="1">
        <f t="shared" si="52"/>
        <v>0</v>
      </c>
      <c r="F299" s="1">
        <f t="shared" si="53"/>
        <v>0.2</v>
      </c>
      <c r="G299" s="4">
        <f t="shared" si="54"/>
        <v>0</v>
      </c>
      <c r="H299" s="4">
        <f t="shared" si="55"/>
        <v>-4.6910914536463073</v>
      </c>
      <c r="I299" s="3">
        <f t="shared" si="56"/>
        <v>-268.77974160382365</v>
      </c>
      <c r="J299" s="2">
        <f t="shared" si="57"/>
        <v>-2.1295916736378481E-2</v>
      </c>
      <c r="K299" s="2">
        <f t="shared" si="58"/>
        <v>0.99977321624974391</v>
      </c>
      <c r="L299" s="4">
        <f t="shared" si="59"/>
        <v>3.8086176184939979E-2</v>
      </c>
      <c r="M299" s="4">
        <f t="shared" si="60"/>
        <v>1.7432757111504826</v>
      </c>
    </row>
    <row r="300" spans="1:13" x14ac:dyDescent="0.4">
      <c r="A300" s="1">
        <f t="shared" si="50"/>
        <v>14.900000000000077</v>
      </c>
      <c r="B300" s="1">
        <f t="shared" si="49"/>
        <v>0.2</v>
      </c>
      <c r="C300" s="1">
        <v>0.2</v>
      </c>
      <c r="D300" s="1">
        <f t="shared" si="51"/>
        <v>0</v>
      </c>
      <c r="E300" s="1">
        <f t="shared" si="52"/>
        <v>0</v>
      </c>
      <c r="F300" s="1">
        <f t="shared" si="53"/>
        <v>0.2</v>
      </c>
      <c r="G300" s="4">
        <f t="shared" si="54"/>
        <v>0</v>
      </c>
      <c r="H300" s="4">
        <f t="shared" si="55"/>
        <v>-4.6910914536463073</v>
      </c>
      <c r="I300" s="3">
        <f t="shared" si="56"/>
        <v>-268.77974160382365</v>
      </c>
      <c r="J300" s="2">
        <f t="shared" si="57"/>
        <v>-2.1295916736378481E-2</v>
      </c>
      <c r="K300" s="2">
        <f t="shared" si="58"/>
        <v>0.99977321624974391</v>
      </c>
      <c r="L300" s="4">
        <f t="shared" si="59"/>
        <v>3.7873217017576191E-2</v>
      </c>
      <c r="M300" s="4">
        <f t="shared" si="60"/>
        <v>1.7532734433129802</v>
      </c>
    </row>
    <row r="301" spans="1:13" x14ac:dyDescent="0.4">
      <c r="A301" s="1">
        <f t="shared" si="50"/>
        <v>14.950000000000077</v>
      </c>
      <c r="B301" s="1">
        <f t="shared" si="49"/>
        <v>0.2</v>
      </c>
      <c r="C301" s="1">
        <v>0.2</v>
      </c>
      <c r="D301" s="1">
        <f t="shared" si="51"/>
        <v>0</v>
      </c>
      <c r="E301" s="1">
        <f t="shared" si="52"/>
        <v>0</v>
      </c>
      <c r="F301" s="1">
        <f t="shared" si="53"/>
        <v>0.2</v>
      </c>
      <c r="G301" s="4">
        <f t="shared" si="54"/>
        <v>0</v>
      </c>
      <c r="H301" s="4">
        <f t="shared" si="55"/>
        <v>-4.6910914536463073</v>
      </c>
      <c r="I301" s="3">
        <f t="shared" si="56"/>
        <v>-268.77974160382365</v>
      </c>
      <c r="J301" s="2">
        <f t="shared" si="57"/>
        <v>-2.1295916736378481E-2</v>
      </c>
      <c r="K301" s="2">
        <f t="shared" si="58"/>
        <v>0.99977321624974391</v>
      </c>
      <c r="L301" s="4">
        <f t="shared" si="59"/>
        <v>3.7660257850212403E-2</v>
      </c>
      <c r="M301" s="4">
        <f t="shared" si="60"/>
        <v>1.7632711754754777</v>
      </c>
    </row>
    <row r="302" spans="1:13" x14ac:dyDescent="0.4">
      <c r="A302" s="1">
        <f t="shared" si="50"/>
        <v>15.000000000000078</v>
      </c>
      <c r="B302" s="1">
        <f t="shared" si="49"/>
        <v>0.2</v>
      </c>
      <c r="C302" s="1">
        <v>0.2</v>
      </c>
      <c r="D302" s="1">
        <f t="shared" si="51"/>
        <v>0</v>
      </c>
      <c r="E302" s="1">
        <f t="shared" si="52"/>
        <v>0</v>
      </c>
      <c r="F302" s="1">
        <f t="shared" si="53"/>
        <v>0.2</v>
      </c>
      <c r="G302" s="4">
        <f t="shared" si="54"/>
        <v>0</v>
      </c>
      <c r="H302" s="4">
        <f t="shared" si="55"/>
        <v>-4.6910914536463073</v>
      </c>
      <c r="I302" s="3">
        <f t="shared" si="56"/>
        <v>-268.77974160382365</v>
      </c>
      <c r="J302" s="2">
        <f t="shared" si="57"/>
        <v>-2.1295916736378481E-2</v>
      </c>
      <c r="K302" s="2">
        <f t="shared" si="58"/>
        <v>0.99977321624974391</v>
      </c>
      <c r="L302" s="4">
        <f t="shared" si="59"/>
        <v>3.7447298682848615E-2</v>
      </c>
      <c r="M302" s="4">
        <f t="shared" si="60"/>
        <v>1.7732689076379753</v>
      </c>
    </row>
    <row r="303" spans="1:13" x14ac:dyDescent="0.4">
      <c r="A303" s="1">
        <f t="shared" si="50"/>
        <v>15.050000000000079</v>
      </c>
      <c r="B303" s="1">
        <f t="shared" si="49"/>
        <v>0.2</v>
      </c>
      <c r="C303" s="1">
        <v>0.2</v>
      </c>
      <c r="D303" s="1">
        <f t="shared" si="51"/>
        <v>0</v>
      </c>
      <c r="E303" s="1">
        <f t="shared" si="52"/>
        <v>0</v>
      </c>
      <c r="F303" s="1">
        <f t="shared" si="53"/>
        <v>0.2</v>
      </c>
      <c r="G303" s="4">
        <f t="shared" si="54"/>
        <v>0</v>
      </c>
      <c r="H303" s="4">
        <f t="shared" si="55"/>
        <v>-4.6910914536463073</v>
      </c>
      <c r="I303" s="3">
        <f t="shared" si="56"/>
        <v>-268.77974160382365</v>
      </c>
      <c r="J303" s="2">
        <f t="shared" si="57"/>
        <v>-2.1295916736378481E-2</v>
      </c>
      <c r="K303" s="2">
        <f t="shared" si="58"/>
        <v>0.99977321624974391</v>
      </c>
      <c r="L303" s="4">
        <f t="shared" si="59"/>
        <v>3.7234339515484827E-2</v>
      </c>
      <c r="M303" s="4">
        <f t="shared" si="60"/>
        <v>1.7832666398004728</v>
      </c>
    </row>
    <row r="304" spans="1:13" x14ac:dyDescent="0.4">
      <c r="A304" s="1">
        <f t="shared" si="50"/>
        <v>15.10000000000008</v>
      </c>
      <c r="B304" s="1">
        <f t="shared" si="49"/>
        <v>0.2</v>
      </c>
      <c r="C304" s="1">
        <v>0.2</v>
      </c>
      <c r="D304" s="1">
        <f t="shared" si="51"/>
        <v>0</v>
      </c>
      <c r="E304" s="1">
        <f t="shared" si="52"/>
        <v>0</v>
      </c>
      <c r="F304" s="1">
        <f t="shared" si="53"/>
        <v>0.2</v>
      </c>
      <c r="G304" s="4">
        <f t="shared" si="54"/>
        <v>0</v>
      </c>
      <c r="H304" s="4">
        <f t="shared" si="55"/>
        <v>-4.6910914536463073</v>
      </c>
      <c r="I304" s="3">
        <f t="shared" si="56"/>
        <v>-268.77974160382365</v>
      </c>
      <c r="J304" s="2">
        <f t="shared" si="57"/>
        <v>-2.1295916736378481E-2</v>
      </c>
      <c r="K304" s="2">
        <f t="shared" si="58"/>
        <v>0.99977321624974391</v>
      </c>
      <c r="L304" s="4">
        <f t="shared" si="59"/>
        <v>3.7021380348121039E-2</v>
      </c>
      <c r="M304" s="4">
        <f t="shared" si="60"/>
        <v>1.7932643719629704</v>
      </c>
    </row>
    <row r="305" spans="1:13" x14ac:dyDescent="0.4">
      <c r="A305" s="1">
        <f t="shared" si="50"/>
        <v>15.15000000000008</v>
      </c>
      <c r="B305" s="1">
        <f t="shared" si="49"/>
        <v>0.2</v>
      </c>
      <c r="C305" s="1">
        <v>0.2</v>
      </c>
      <c r="D305" s="1">
        <f t="shared" si="51"/>
        <v>0</v>
      </c>
      <c r="E305" s="1">
        <f t="shared" si="52"/>
        <v>0</v>
      </c>
      <c r="F305" s="1">
        <f t="shared" si="53"/>
        <v>0.2</v>
      </c>
      <c r="G305" s="4">
        <f t="shared" si="54"/>
        <v>0</v>
      </c>
      <c r="H305" s="4">
        <f t="shared" si="55"/>
        <v>-4.6910914536463073</v>
      </c>
      <c r="I305" s="3">
        <f t="shared" si="56"/>
        <v>-268.77974160382365</v>
      </c>
      <c r="J305" s="2">
        <f t="shared" si="57"/>
        <v>-2.1295916736378481E-2</v>
      </c>
      <c r="K305" s="2">
        <f t="shared" si="58"/>
        <v>0.99977321624974391</v>
      </c>
      <c r="L305" s="4">
        <f t="shared" si="59"/>
        <v>3.680842118075725E-2</v>
      </c>
      <c r="M305" s="4">
        <f t="shared" si="60"/>
        <v>1.8032621041254679</v>
      </c>
    </row>
    <row r="306" spans="1:13" x14ac:dyDescent="0.4">
      <c r="A306" s="1">
        <f t="shared" si="50"/>
        <v>15.200000000000081</v>
      </c>
      <c r="B306" s="1">
        <f t="shared" si="49"/>
        <v>0.2</v>
      </c>
      <c r="C306" s="1">
        <v>0.2</v>
      </c>
      <c r="D306" s="1">
        <f t="shared" si="51"/>
        <v>0</v>
      </c>
      <c r="E306" s="1">
        <f t="shared" si="52"/>
        <v>0</v>
      </c>
      <c r="F306" s="1">
        <f t="shared" si="53"/>
        <v>0.2</v>
      </c>
      <c r="G306" s="4">
        <f t="shared" si="54"/>
        <v>0</v>
      </c>
      <c r="H306" s="4">
        <f t="shared" si="55"/>
        <v>-4.6910914536463073</v>
      </c>
      <c r="I306" s="3">
        <f t="shared" si="56"/>
        <v>-268.77974160382365</v>
      </c>
      <c r="J306" s="2">
        <f t="shared" si="57"/>
        <v>-2.1295916736378481E-2</v>
      </c>
      <c r="K306" s="2">
        <f t="shared" si="58"/>
        <v>0.99977321624974391</v>
      </c>
      <c r="L306" s="4">
        <f t="shared" si="59"/>
        <v>3.6595462013393462E-2</v>
      </c>
      <c r="M306" s="4">
        <f t="shared" si="60"/>
        <v>1.8132598362879655</v>
      </c>
    </row>
    <row r="307" spans="1:13" x14ac:dyDescent="0.4">
      <c r="A307" s="1">
        <f t="shared" si="50"/>
        <v>15.250000000000082</v>
      </c>
      <c r="B307" s="1">
        <f t="shared" si="49"/>
        <v>0.2</v>
      </c>
      <c r="C307" s="1">
        <v>0.2</v>
      </c>
      <c r="D307" s="1">
        <f t="shared" si="51"/>
        <v>0</v>
      </c>
      <c r="E307" s="1">
        <f t="shared" si="52"/>
        <v>0</v>
      </c>
      <c r="F307" s="1">
        <f t="shared" si="53"/>
        <v>0.2</v>
      </c>
      <c r="G307" s="4">
        <f t="shared" si="54"/>
        <v>0</v>
      </c>
      <c r="H307" s="4">
        <f t="shared" si="55"/>
        <v>-4.6910914536463073</v>
      </c>
      <c r="I307" s="3">
        <f t="shared" si="56"/>
        <v>-268.77974160382365</v>
      </c>
      <c r="J307" s="2">
        <f t="shared" si="57"/>
        <v>-2.1295916736378481E-2</v>
      </c>
      <c r="K307" s="2">
        <f t="shared" si="58"/>
        <v>0.99977321624974391</v>
      </c>
      <c r="L307" s="4">
        <f t="shared" si="59"/>
        <v>3.6382502846029674E-2</v>
      </c>
      <c r="M307" s="4">
        <f t="shared" si="60"/>
        <v>1.8232575684504631</v>
      </c>
    </row>
    <row r="308" spans="1:13" x14ac:dyDescent="0.4">
      <c r="A308" s="1">
        <f t="shared" si="50"/>
        <v>15.300000000000082</v>
      </c>
      <c r="B308" s="1">
        <f t="shared" si="49"/>
        <v>0.2</v>
      </c>
      <c r="C308" s="1">
        <v>0.2</v>
      </c>
      <c r="D308" s="1">
        <f t="shared" si="51"/>
        <v>0</v>
      </c>
      <c r="E308" s="1">
        <f t="shared" si="52"/>
        <v>0</v>
      </c>
      <c r="F308" s="1">
        <f t="shared" si="53"/>
        <v>0.2</v>
      </c>
      <c r="G308" s="4">
        <f t="shared" si="54"/>
        <v>0</v>
      </c>
      <c r="H308" s="4">
        <f t="shared" si="55"/>
        <v>-4.6910914536463073</v>
      </c>
      <c r="I308" s="3">
        <f t="shared" si="56"/>
        <v>-268.77974160382365</v>
      </c>
      <c r="J308" s="2">
        <f t="shared" si="57"/>
        <v>-2.1295916736378481E-2</v>
      </c>
      <c r="K308" s="2">
        <f t="shared" si="58"/>
        <v>0.99977321624974391</v>
      </c>
      <c r="L308" s="4">
        <f t="shared" si="59"/>
        <v>3.6169543678665886E-2</v>
      </c>
      <c r="M308" s="4">
        <f t="shared" si="60"/>
        <v>1.8332553006129606</v>
      </c>
    </row>
    <row r="309" spans="1:13" x14ac:dyDescent="0.4">
      <c r="A309" s="1">
        <f t="shared" si="50"/>
        <v>15.350000000000083</v>
      </c>
      <c r="B309" s="1">
        <f t="shared" ref="B309:B372" si="61">B308</f>
        <v>0.2</v>
      </c>
      <c r="C309" s="1">
        <v>0.2</v>
      </c>
      <c r="D309" s="1">
        <f t="shared" si="51"/>
        <v>0</v>
      </c>
      <c r="E309" s="1">
        <f t="shared" si="52"/>
        <v>0</v>
      </c>
      <c r="F309" s="1">
        <f t="shared" si="53"/>
        <v>0.2</v>
      </c>
      <c r="G309" s="4">
        <f t="shared" si="54"/>
        <v>0</v>
      </c>
      <c r="H309" s="4">
        <f t="shared" si="55"/>
        <v>-4.6910914536463073</v>
      </c>
      <c r="I309" s="3">
        <f t="shared" si="56"/>
        <v>-268.77974160382365</v>
      </c>
      <c r="J309" s="2">
        <f t="shared" si="57"/>
        <v>-2.1295916736378481E-2</v>
      </c>
      <c r="K309" s="2">
        <f t="shared" si="58"/>
        <v>0.99977321624974391</v>
      </c>
      <c r="L309" s="4">
        <f t="shared" si="59"/>
        <v>3.5956584511302098E-2</v>
      </c>
      <c r="M309" s="4">
        <f t="shared" si="60"/>
        <v>1.8432530327754582</v>
      </c>
    </row>
    <row r="310" spans="1:13" x14ac:dyDescent="0.4">
      <c r="A310" s="1">
        <f t="shared" si="50"/>
        <v>15.400000000000084</v>
      </c>
      <c r="B310" s="1">
        <f t="shared" si="61"/>
        <v>0.2</v>
      </c>
      <c r="C310" s="1">
        <v>0.2</v>
      </c>
      <c r="D310" s="1">
        <f t="shared" si="51"/>
        <v>0</v>
      </c>
      <c r="E310" s="1">
        <f t="shared" si="52"/>
        <v>0</v>
      </c>
      <c r="F310" s="1">
        <f t="shared" si="53"/>
        <v>0.2</v>
      </c>
      <c r="G310" s="4">
        <f t="shared" si="54"/>
        <v>0</v>
      </c>
      <c r="H310" s="4">
        <f t="shared" si="55"/>
        <v>-4.6910914536463073</v>
      </c>
      <c r="I310" s="3">
        <f t="shared" si="56"/>
        <v>-268.77974160382365</v>
      </c>
      <c r="J310" s="2">
        <f t="shared" si="57"/>
        <v>-2.1295916736378481E-2</v>
      </c>
      <c r="K310" s="2">
        <f t="shared" si="58"/>
        <v>0.99977321624974391</v>
      </c>
      <c r="L310" s="4">
        <f t="shared" si="59"/>
        <v>3.5743625343938309E-2</v>
      </c>
      <c r="M310" s="4">
        <f t="shared" si="60"/>
        <v>1.8532507649379557</v>
      </c>
    </row>
    <row r="311" spans="1:13" x14ac:dyDescent="0.4">
      <c r="A311" s="1">
        <f t="shared" si="50"/>
        <v>15.450000000000085</v>
      </c>
      <c r="B311" s="1">
        <f t="shared" si="61"/>
        <v>0.2</v>
      </c>
      <c r="C311" s="1">
        <v>0.2</v>
      </c>
      <c r="D311" s="1">
        <f t="shared" si="51"/>
        <v>0</v>
      </c>
      <c r="E311" s="1">
        <f t="shared" si="52"/>
        <v>0</v>
      </c>
      <c r="F311" s="1">
        <f t="shared" si="53"/>
        <v>0.2</v>
      </c>
      <c r="G311" s="4">
        <f t="shared" si="54"/>
        <v>0</v>
      </c>
      <c r="H311" s="4">
        <f t="shared" si="55"/>
        <v>-4.6910914536463073</v>
      </c>
      <c r="I311" s="3">
        <f t="shared" si="56"/>
        <v>-268.77974160382365</v>
      </c>
      <c r="J311" s="2">
        <f t="shared" si="57"/>
        <v>-2.1295916736378481E-2</v>
      </c>
      <c r="K311" s="2">
        <f t="shared" si="58"/>
        <v>0.99977321624974391</v>
      </c>
      <c r="L311" s="4">
        <f t="shared" si="59"/>
        <v>3.5530666176574521E-2</v>
      </c>
      <c r="M311" s="4">
        <f t="shared" si="60"/>
        <v>1.8632484971004533</v>
      </c>
    </row>
    <row r="312" spans="1:13" x14ac:dyDescent="0.4">
      <c r="A312" s="1">
        <f t="shared" si="50"/>
        <v>15.500000000000085</v>
      </c>
      <c r="B312" s="1">
        <f t="shared" si="61"/>
        <v>0.2</v>
      </c>
      <c r="C312" s="1">
        <v>0.2</v>
      </c>
      <c r="D312" s="1">
        <f t="shared" si="51"/>
        <v>0</v>
      </c>
      <c r="E312" s="1">
        <f t="shared" si="52"/>
        <v>0</v>
      </c>
      <c r="F312" s="1">
        <f t="shared" si="53"/>
        <v>0.2</v>
      </c>
      <c r="G312" s="4">
        <f t="shared" si="54"/>
        <v>0</v>
      </c>
      <c r="H312" s="4">
        <f t="shared" si="55"/>
        <v>-4.6910914536463073</v>
      </c>
      <c r="I312" s="3">
        <f t="shared" si="56"/>
        <v>-268.77974160382365</v>
      </c>
      <c r="J312" s="2">
        <f t="shared" si="57"/>
        <v>-2.1295916736378481E-2</v>
      </c>
      <c r="K312" s="2">
        <f t="shared" si="58"/>
        <v>0.99977321624974391</v>
      </c>
      <c r="L312" s="4">
        <f t="shared" si="59"/>
        <v>3.5317707009210733E-2</v>
      </c>
      <c r="M312" s="4">
        <f t="shared" si="60"/>
        <v>1.8732462292629508</v>
      </c>
    </row>
    <row r="313" spans="1:13" x14ac:dyDescent="0.4">
      <c r="A313" s="1">
        <f t="shared" si="50"/>
        <v>15.550000000000086</v>
      </c>
      <c r="B313" s="1">
        <f t="shared" si="61"/>
        <v>0.2</v>
      </c>
      <c r="C313" s="1">
        <v>0.2</v>
      </c>
      <c r="D313" s="1">
        <f t="shared" si="51"/>
        <v>0</v>
      </c>
      <c r="E313" s="1">
        <f t="shared" si="52"/>
        <v>0</v>
      </c>
      <c r="F313" s="1">
        <f t="shared" si="53"/>
        <v>0.2</v>
      </c>
      <c r="G313" s="4">
        <f t="shared" si="54"/>
        <v>0</v>
      </c>
      <c r="H313" s="4">
        <f t="shared" si="55"/>
        <v>-4.6910914536463073</v>
      </c>
      <c r="I313" s="3">
        <f t="shared" si="56"/>
        <v>-268.77974160382365</v>
      </c>
      <c r="J313" s="2">
        <f t="shared" si="57"/>
        <v>-2.1295916736378481E-2</v>
      </c>
      <c r="K313" s="2">
        <f t="shared" si="58"/>
        <v>0.99977321624974391</v>
      </c>
      <c r="L313" s="4">
        <f t="shared" si="59"/>
        <v>3.5104747841846945E-2</v>
      </c>
      <c r="M313" s="4">
        <f t="shared" si="60"/>
        <v>1.8832439614254484</v>
      </c>
    </row>
    <row r="314" spans="1:13" x14ac:dyDescent="0.4">
      <c r="A314" s="1">
        <f t="shared" si="50"/>
        <v>15.600000000000087</v>
      </c>
      <c r="B314" s="1">
        <f t="shared" si="61"/>
        <v>0.2</v>
      </c>
      <c r="C314" s="1">
        <v>0.2</v>
      </c>
      <c r="D314" s="1">
        <f t="shared" si="51"/>
        <v>0</v>
      </c>
      <c r="E314" s="1">
        <f t="shared" si="52"/>
        <v>0</v>
      </c>
      <c r="F314" s="1">
        <f t="shared" si="53"/>
        <v>0.2</v>
      </c>
      <c r="G314" s="4">
        <f t="shared" si="54"/>
        <v>0</v>
      </c>
      <c r="H314" s="4">
        <f t="shared" si="55"/>
        <v>-4.6910914536463073</v>
      </c>
      <c r="I314" s="3">
        <f t="shared" si="56"/>
        <v>-268.77974160382365</v>
      </c>
      <c r="J314" s="2">
        <f t="shared" si="57"/>
        <v>-2.1295916736378481E-2</v>
      </c>
      <c r="K314" s="2">
        <f t="shared" si="58"/>
        <v>0.99977321624974391</v>
      </c>
      <c r="L314" s="4">
        <f t="shared" si="59"/>
        <v>3.4891788674483157E-2</v>
      </c>
      <c r="M314" s="4">
        <f t="shared" si="60"/>
        <v>1.8932416935879459</v>
      </c>
    </row>
    <row r="315" spans="1:13" x14ac:dyDescent="0.4">
      <c r="A315" s="1">
        <f t="shared" si="50"/>
        <v>15.650000000000087</v>
      </c>
      <c r="B315" s="1">
        <f t="shared" si="61"/>
        <v>0.2</v>
      </c>
      <c r="C315" s="1">
        <v>0.2</v>
      </c>
      <c r="D315" s="1">
        <f t="shared" si="51"/>
        <v>0</v>
      </c>
      <c r="E315" s="1">
        <f t="shared" si="52"/>
        <v>0</v>
      </c>
      <c r="F315" s="1">
        <f t="shared" si="53"/>
        <v>0.2</v>
      </c>
      <c r="G315" s="4">
        <f t="shared" si="54"/>
        <v>0</v>
      </c>
      <c r="H315" s="4">
        <f t="shared" si="55"/>
        <v>-4.6910914536463073</v>
      </c>
      <c r="I315" s="3">
        <f t="shared" si="56"/>
        <v>-268.77974160382365</v>
      </c>
      <c r="J315" s="2">
        <f t="shared" si="57"/>
        <v>-2.1295916736378481E-2</v>
      </c>
      <c r="K315" s="2">
        <f t="shared" si="58"/>
        <v>0.99977321624974391</v>
      </c>
      <c r="L315" s="4">
        <f t="shared" si="59"/>
        <v>3.4678829507119369E-2</v>
      </c>
      <c r="M315" s="4">
        <f t="shared" si="60"/>
        <v>1.9032394257504435</v>
      </c>
    </row>
    <row r="316" spans="1:13" x14ac:dyDescent="0.4">
      <c r="A316" s="1">
        <f t="shared" si="50"/>
        <v>15.700000000000088</v>
      </c>
      <c r="B316" s="1">
        <f t="shared" si="61"/>
        <v>0.2</v>
      </c>
      <c r="C316" s="1">
        <v>0.2</v>
      </c>
      <c r="D316" s="1">
        <f t="shared" si="51"/>
        <v>0</v>
      </c>
      <c r="E316" s="1">
        <f t="shared" si="52"/>
        <v>0</v>
      </c>
      <c r="F316" s="1">
        <f t="shared" si="53"/>
        <v>0.2</v>
      </c>
      <c r="G316" s="4">
        <f t="shared" si="54"/>
        <v>0</v>
      </c>
      <c r="H316" s="4">
        <f t="shared" si="55"/>
        <v>-4.6910914536463073</v>
      </c>
      <c r="I316" s="3">
        <f t="shared" si="56"/>
        <v>-268.77974160382365</v>
      </c>
      <c r="J316" s="2">
        <f t="shared" si="57"/>
        <v>-2.1295916736378481E-2</v>
      </c>
      <c r="K316" s="2">
        <f t="shared" si="58"/>
        <v>0.99977321624974391</v>
      </c>
      <c r="L316" s="4">
        <f t="shared" si="59"/>
        <v>3.446587033975558E-2</v>
      </c>
      <c r="M316" s="4">
        <f t="shared" si="60"/>
        <v>1.913237157912941</v>
      </c>
    </row>
    <row r="317" spans="1:13" x14ac:dyDescent="0.4">
      <c r="A317" s="1">
        <f t="shared" si="50"/>
        <v>15.750000000000089</v>
      </c>
      <c r="B317" s="1">
        <f t="shared" si="61"/>
        <v>0.2</v>
      </c>
      <c r="C317" s="1">
        <v>0.2</v>
      </c>
      <c r="D317" s="1">
        <f t="shared" si="51"/>
        <v>0</v>
      </c>
      <c r="E317" s="1">
        <f t="shared" si="52"/>
        <v>0</v>
      </c>
      <c r="F317" s="1">
        <f t="shared" si="53"/>
        <v>0.2</v>
      </c>
      <c r="G317" s="4">
        <f t="shared" si="54"/>
        <v>0</v>
      </c>
      <c r="H317" s="4">
        <f t="shared" si="55"/>
        <v>-4.6910914536463073</v>
      </c>
      <c r="I317" s="3">
        <f t="shared" si="56"/>
        <v>-268.77974160382365</v>
      </c>
      <c r="J317" s="2">
        <f t="shared" si="57"/>
        <v>-2.1295916736378481E-2</v>
      </c>
      <c r="K317" s="2">
        <f t="shared" si="58"/>
        <v>0.99977321624974391</v>
      </c>
      <c r="L317" s="4">
        <f t="shared" si="59"/>
        <v>3.4252911172391792E-2</v>
      </c>
      <c r="M317" s="4">
        <f t="shared" si="60"/>
        <v>1.9232348900754386</v>
      </c>
    </row>
    <row r="318" spans="1:13" x14ac:dyDescent="0.4">
      <c r="A318" s="1">
        <f t="shared" si="50"/>
        <v>15.80000000000009</v>
      </c>
      <c r="B318" s="1">
        <f t="shared" si="61"/>
        <v>0.2</v>
      </c>
      <c r="C318" s="1">
        <v>0.2</v>
      </c>
      <c r="D318" s="1">
        <f t="shared" si="51"/>
        <v>0</v>
      </c>
      <c r="E318" s="1">
        <f t="shared" si="52"/>
        <v>0</v>
      </c>
      <c r="F318" s="1">
        <f t="shared" si="53"/>
        <v>0.2</v>
      </c>
      <c r="G318" s="4">
        <f t="shared" si="54"/>
        <v>0</v>
      </c>
      <c r="H318" s="4">
        <f t="shared" si="55"/>
        <v>-4.6910914536463073</v>
      </c>
      <c r="I318" s="3">
        <f t="shared" si="56"/>
        <v>-268.77974160382365</v>
      </c>
      <c r="J318" s="2">
        <f t="shared" si="57"/>
        <v>-2.1295916736378481E-2</v>
      </c>
      <c r="K318" s="2">
        <f t="shared" si="58"/>
        <v>0.99977321624974391</v>
      </c>
      <c r="L318" s="4">
        <f t="shared" si="59"/>
        <v>3.4039952005028004E-2</v>
      </c>
      <c r="M318" s="4">
        <f t="shared" si="60"/>
        <v>1.9332326222379361</v>
      </c>
    </row>
    <row r="319" spans="1:13" x14ac:dyDescent="0.4">
      <c r="A319" s="1">
        <f t="shared" si="50"/>
        <v>15.85000000000009</v>
      </c>
      <c r="B319" s="1">
        <f t="shared" si="61"/>
        <v>0.2</v>
      </c>
      <c r="C319" s="1">
        <v>0.2</v>
      </c>
      <c r="D319" s="1">
        <f t="shared" si="51"/>
        <v>0</v>
      </c>
      <c r="E319" s="1">
        <f t="shared" si="52"/>
        <v>0</v>
      </c>
      <c r="F319" s="1">
        <f t="shared" si="53"/>
        <v>0.2</v>
      </c>
      <c r="G319" s="4">
        <f t="shared" si="54"/>
        <v>0</v>
      </c>
      <c r="H319" s="4">
        <f t="shared" si="55"/>
        <v>-4.6910914536463073</v>
      </c>
      <c r="I319" s="3">
        <f t="shared" si="56"/>
        <v>-268.77974160382365</v>
      </c>
      <c r="J319" s="2">
        <f t="shared" si="57"/>
        <v>-2.1295916736378481E-2</v>
      </c>
      <c r="K319" s="2">
        <f t="shared" si="58"/>
        <v>0.99977321624974391</v>
      </c>
      <c r="L319" s="4">
        <f t="shared" si="59"/>
        <v>3.3826992837664216E-2</v>
      </c>
      <c r="M319" s="4">
        <f t="shared" si="60"/>
        <v>1.9432303544004337</v>
      </c>
    </row>
    <row r="320" spans="1:13" x14ac:dyDescent="0.4">
      <c r="A320" s="1">
        <f t="shared" si="50"/>
        <v>15.900000000000091</v>
      </c>
      <c r="B320" s="1">
        <f t="shared" si="61"/>
        <v>0.2</v>
      </c>
      <c r="C320" s="1">
        <v>0.2</v>
      </c>
      <c r="D320" s="1">
        <f t="shared" si="51"/>
        <v>0</v>
      </c>
      <c r="E320" s="1">
        <f t="shared" si="52"/>
        <v>0</v>
      </c>
      <c r="F320" s="1">
        <f t="shared" si="53"/>
        <v>0.2</v>
      </c>
      <c r="G320" s="4">
        <f t="shared" si="54"/>
        <v>0</v>
      </c>
      <c r="H320" s="4">
        <f t="shared" si="55"/>
        <v>-4.6910914536463073</v>
      </c>
      <c r="I320" s="3">
        <f t="shared" si="56"/>
        <v>-268.77974160382365</v>
      </c>
      <c r="J320" s="2">
        <f t="shared" si="57"/>
        <v>-2.1295916736378481E-2</v>
      </c>
      <c r="K320" s="2">
        <f t="shared" si="58"/>
        <v>0.99977321624974391</v>
      </c>
      <c r="L320" s="4">
        <f t="shared" si="59"/>
        <v>3.3614033670300428E-2</v>
      </c>
      <c r="M320" s="4">
        <f t="shared" si="60"/>
        <v>1.9532280865629312</v>
      </c>
    </row>
    <row r="321" spans="1:13" x14ac:dyDescent="0.4">
      <c r="A321" s="1">
        <f t="shared" si="50"/>
        <v>15.950000000000092</v>
      </c>
      <c r="B321" s="1">
        <f t="shared" si="61"/>
        <v>0.2</v>
      </c>
      <c r="C321" s="1">
        <v>0.2</v>
      </c>
      <c r="D321" s="1">
        <f t="shared" si="51"/>
        <v>0</v>
      </c>
      <c r="E321" s="1">
        <f t="shared" si="52"/>
        <v>0</v>
      </c>
      <c r="F321" s="1">
        <f t="shared" si="53"/>
        <v>0.2</v>
      </c>
      <c r="G321" s="4">
        <f t="shared" si="54"/>
        <v>0</v>
      </c>
      <c r="H321" s="4">
        <f t="shared" si="55"/>
        <v>-4.6910914536463073</v>
      </c>
      <c r="I321" s="3">
        <f t="shared" si="56"/>
        <v>-268.77974160382365</v>
      </c>
      <c r="J321" s="2">
        <f t="shared" si="57"/>
        <v>-2.1295916736378481E-2</v>
      </c>
      <c r="K321" s="2">
        <f t="shared" si="58"/>
        <v>0.99977321624974391</v>
      </c>
      <c r="L321" s="4">
        <f t="shared" si="59"/>
        <v>3.340107450293664E-2</v>
      </c>
      <c r="M321" s="4">
        <f t="shared" si="60"/>
        <v>1.9632258187254288</v>
      </c>
    </row>
    <row r="322" spans="1:13" x14ac:dyDescent="0.4">
      <c r="A322" s="1">
        <f t="shared" si="50"/>
        <v>16.000000000000092</v>
      </c>
      <c r="B322" s="1">
        <f t="shared" si="61"/>
        <v>0.2</v>
      </c>
      <c r="C322" s="1">
        <v>0.2</v>
      </c>
      <c r="D322" s="1">
        <f t="shared" si="51"/>
        <v>0</v>
      </c>
      <c r="E322" s="1">
        <f t="shared" si="52"/>
        <v>0</v>
      </c>
      <c r="F322" s="1">
        <f t="shared" si="53"/>
        <v>0.2</v>
      </c>
      <c r="G322" s="4">
        <f t="shared" si="54"/>
        <v>0</v>
      </c>
      <c r="H322" s="4">
        <f t="shared" si="55"/>
        <v>-4.6910914536463073</v>
      </c>
      <c r="I322" s="3">
        <f t="shared" si="56"/>
        <v>-268.77974160382365</v>
      </c>
      <c r="J322" s="2">
        <f t="shared" si="57"/>
        <v>-2.1295916736378481E-2</v>
      </c>
      <c r="K322" s="2">
        <f t="shared" si="58"/>
        <v>0.99977321624974391</v>
      </c>
      <c r="L322" s="4">
        <f t="shared" si="59"/>
        <v>3.3188115335572851E-2</v>
      </c>
      <c r="M322" s="4">
        <f t="shared" si="60"/>
        <v>1.9732235508879263</v>
      </c>
    </row>
    <row r="323" spans="1:13" x14ac:dyDescent="0.4">
      <c r="A323" s="1">
        <f t="shared" si="50"/>
        <v>16.050000000000093</v>
      </c>
      <c r="B323" s="1">
        <f t="shared" si="61"/>
        <v>0.2</v>
      </c>
      <c r="C323" s="1">
        <v>0.2</v>
      </c>
      <c r="D323" s="1">
        <f t="shared" si="51"/>
        <v>0</v>
      </c>
      <c r="E323" s="1">
        <f t="shared" si="52"/>
        <v>0</v>
      </c>
      <c r="F323" s="1">
        <f t="shared" si="53"/>
        <v>0.2</v>
      </c>
      <c r="G323" s="4">
        <f t="shared" si="54"/>
        <v>0</v>
      </c>
      <c r="H323" s="4">
        <f t="shared" si="55"/>
        <v>-4.6910914536463073</v>
      </c>
      <c r="I323" s="3">
        <f t="shared" si="56"/>
        <v>-268.77974160382365</v>
      </c>
      <c r="J323" s="2">
        <f t="shared" si="57"/>
        <v>-2.1295916736378481E-2</v>
      </c>
      <c r="K323" s="2">
        <f t="shared" si="58"/>
        <v>0.99977321624974391</v>
      </c>
      <c r="L323" s="4">
        <f t="shared" si="59"/>
        <v>3.2975156168209063E-2</v>
      </c>
      <c r="M323" s="4">
        <f t="shared" si="60"/>
        <v>1.9832212830504239</v>
      </c>
    </row>
    <row r="324" spans="1:13" x14ac:dyDescent="0.4">
      <c r="A324" s="1">
        <f t="shared" ref="A324:A387" si="62">A323+$P$3</f>
        <v>16.100000000000094</v>
      </c>
      <c r="B324" s="1">
        <f t="shared" si="61"/>
        <v>0.2</v>
      </c>
      <c r="C324" s="1">
        <v>0.2</v>
      </c>
      <c r="D324" s="1">
        <f t="shared" ref="D324:D387" si="63">(B324-B323)/$P$3</f>
        <v>0</v>
      </c>
      <c r="E324" s="1">
        <f t="shared" ref="E324:E387" si="64">(C324-C323)/$P$3</f>
        <v>0</v>
      </c>
      <c r="F324" s="1">
        <f t="shared" ref="F324:F387" si="65">(B324+C324)/2</f>
        <v>0.2</v>
      </c>
      <c r="G324" s="4">
        <f t="shared" ref="G324:G387" si="66">(B324-C324)/R$3</f>
        <v>0</v>
      </c>
      <c r="H324" s="4">
        <f t="shared" ref="H324:H387" si="67">H323+G324*P$3</f>
        <v>-4.6910914536463073</v>
      </c>
      <c r="I324" s="3">
        <f t="shared" ref="I324:I387" si="68">H324*180/PI()</f>
        <v>-268.77974160382365</v>
      </c>
      <c r="J324" s="2">
        <f t="shared" ref="J324:J387" si="69">COS((H324+H323)/2)</f>
        <v>-2.1295916736378481E-2</v>
      </c>
      <c r="K324" s="2">
        <f t="shared" ref="K324:K387" si="70">SIN((H324+H323)/2)</f>
        <v>0.99977321624974391</v>
      </c>
      <c r="L324" s="4">
        <f t="shared" ref="L324:L387" si="71">L323+F324*P$3*J324</f>
        <v>3.2762197000845275E-2</v>
      </c>
      <c r="M324" s="4">
        <f t="shared" ref="M324:M387" si="72">M323+F324*P$3*K324</f>
        <v>1.9932190152129214</v>
      </c>
    </row>
    <row r="325" spans="1:13" x14ac:dyDescent="0.4">
      <c r="A325" s="1">
        <f t="shared" si="62"/>
        <v>16.150000000000095</v>
      </c>
      <c r="B325" s="1">
        <f t="shared" si="61"/>
        <v>0.2</v>
      </c>
      <c r="C325" s="1">
        <v>0.2</v>
      </c>
      <c r="D325" s="1">
        <f t="shared" si="63"/>
        <v>0</v>
      </c>
      <c r="E325" s="1">
        <f t="shared" si="64"/>
        <v>0</v>
      </c>
      <c r="F325" s="1">
        <f t="shared" si="65"/>
        <v>0.2</v>
      </c>
      <c r="G325" s="4">
        <f t="shared" si="66"/>
        <v>0</v>
      </c>
      <c r="H325" s="4">
        <f t="shared" si="67"/>
        <v>-4.6910914536463073</v>
      </c>
      <c r="I325" s="3">
        <f t="shared" si="68"/>
        <v>-268.77974160382365</v>
      </c>
      <c r="J325" s="2">
        <f t="shared" si="69"/>
        <v>-2.1295916736378481E-2</v>
      </c>
      <c r="K325" s="2">
        <f t="shared" si="70"/>
        <v>0.99977321624974391</v>
      </c>
      <c r="L325" s="4">
        <f t="shared" si="71"/>
        <v>3.2549237833481487E-2</v>
      </c>
      <c r="M325" s="4">
        <f t="shared" si="72"/>
        <v>2.003216747375419</v>
      </c>
    </row>
    <row r="326" spans="1:13" x14ac:dyDescent="0.4">
      <c r="A326" s="1">
        <f t="shared" si="62"/>
        <v>16.200000000000095</v>
      </c>
      <c r="B326" s="1">
        <f t="shared" si="61"/>
        <v>0.2</v>
      </c>
      <c r="C326" s="1">
        <v>0.2</v>
      </c>
      <c r="D326" s="1">
        <f t="shared" si="63"/>
        <v>0</v>
      </c>
      <c r="E326" s="1">
        <f t="shared" si="64"/>
        <v>0</v>
      </c>
      <c r="F326" s="1">
        <f t="shared" si="65"/>
        <v>0.2</v>
      </c>
      <c r="G326" s="4">
        <f t="shared" si="66"/>
        <v>0</v>
      </c>
      <c r="H326" s="4">
        <f t="shared" si="67"/>
        <v>-4.6910914536463073</v>
      </c>
      <c r="I326" s="3">
        <f t="shared" si="68"/>
        <v>-268.77974160382365</v>
      </c>
      <c r="J326" s="2">
        <f t="shared" si="69"/>
        <v>-2.1295916736378481E-2</v>
      </c>
      <c r="K326" s="2">
        <f t="shared" si="70"/>
        <v>0.99977321624974391</v>
      </c>
      <c r="L326" s="4">
        <f t="shared" si="71"/>
        <v>3.2336278666117699E-2</v>
      </c>
      <c r="M326" s="4">
        <f t="shared" si="72"/>
        <v>2.0132144795379165</v>
      </c>
    </row>
    <row r="327" spans="1:13" x14ac:dyDescent="0.4">
      <c r="A327" s="1">
        <f t="shared" si="62"/>
        <v>16.250000000000096</v>
      </c>
      <c r="B327" s="1">
        <f t="shared" si="61"/>
        <v>0.2</v>
      </c>
      <c r="C327" s="1">
        <v>0.2</v>
      </c>
      <c r="D327" s="1">
        <f t="shared" si="63"/>
        <v>0</v>
      </c>
      <c r="E327" s="1">
        <f t="shared" si="64"/>
        <v>0</v>
      </c>
      <c r="F327" s="1">
        <f t="shared" si="65"/>
        <v>0.2</v>
      </c>
      <c r="G327" s="4">
        <f t="shared" si="66"/>
        <v>0</v>
      </c>
      <c r="H327" s="4">
        <f t="shared" si="67"/>
        <v>-4.6910914536463073</v>
      </c>
      <c r="I327" s="3">
        <f t="shared" si="68"/>
        <v>-268.77974160382365</v>
      </c>
      <c r="J327" s="2">
        <f t="shared" si="69"/>
        <v>-2.1295916736378481E-2</v>
      </c>
      <c r="K327" s="2">
        <f t="shared" si="70"/>
        <v>0.99977321624974391</v>
      </c>
      <c r="L327" s="4">
        <f t="shared" si="71"/>
        <v>3.2123319498753911E-2</v>
      </c>
      <c r="M327" s="4">
        <f t="shared" si="72"/>
        <v>2.0232122117004141</v>
      </c>
    </row>
    <row r="328" spans="1:13" x14ac:dyDescent="0.4">
      <c r="A328" s="1">
        <f t="shared" si="62"/>
        <v>16.300000000000097</v>
      </c>
      <c r="B328" s="1">
        <f t="shared" si="61"/>
        <v>0.2</v>
      </c>
      <c r="C328" s="1">
        <v>0.2</v>
      </c>
      <c r="D328" s="1">
        <f t="shared" si="63"/>
        <v>0</v>
      </c>
      <c r="E328" s="1">
        <f t="shared" si="64"/>
        <v>0</v>
      </c>
      <c r="F328" s="1">
        <f t="shared" si="65"/>
        <v>0.2</v>
      </c>
      <c r="G328" s="4">
        <f t="shared" si="66"/>
        <v>0</v>
      </c>
      <c r="H328" s="4">
        <f t="shared" si="67"/>
        <v>-4.6910914536463073</v>
      </c>
      <c r="I328" s="3">
        <f t="shared" si="68"/>
        <v>-268.77974160382365</v>
      </c>
      <c r="J328" s="2">
        <f t="shared" si="69"/>
        <v>-2.1295916736378481E-2</v>
      </c>
      <c r="K328" s="2">
        <f t="shared" si="70"/>
        <v>0.99977321624974391</v>
      </c>
      <c r="L328" s="4">
        <f t="shared" si="71"/>
        <v>3.1910360331390122E-2</v>
      </c>
      <c r="M328" s="4">
        <f t="shared" si="72"/>
        <v>2.0332099438629117</v>
      </c>
    </row>
    <row r="329" spans="1:13" x14ac:dyDescent="0.4">
      <c r="A329" s="1">
        <f t="shared" si="62"/>
        <v>16.350000000000097</v>
      </c>
      <c r="B329" s="1">
        <f t="shared" si="61"/>
        <v>0.2</v>
      </c>
      <c r="C329" s="1">
        <v>0.2</v>
      </c>
      <c r="D329" s="1">
        <f t="shared" si="63"/>
        <v>0</v>
      </c>
      <c r="E329" s="1">
        <f t="shared" si="64"/>
        <v>0</v>
      </c>
      <c r="F329" s="1">
        <f t="shared" si="65"/>
        <v>0.2</v>
      </c>
      <c r="G329" s="4">
        <f t="shared" si="66"/>
        <v>0</v>
      </c>
      <c r="H329" s="4">
        <f t="shared" si="67"/>
        <v>-4.6910914536463073</v>
      </c>
      <c r="I329" s="3">
        <f t="shared" si="68"/>
        <v>-268.77974160382365</v>
      </c>
      <c r="J329" s="2">
        <f t="shared" si="69"/>
        <v>-2.1295916736378481E-2</v>
      </c>
      <c r="K329" s="2">
        <f t="shared" si="70"/>
        <v>0.99977321624974391</v>
      </c>
      <c r="L329" s="4">
        <f t="shared" si="71"/>
        <v>3.1697401164026334E-2</v>
      </c>
      <c r="M329" s="4">
        <f t="shared" si="72"/>
        <v>2.0432076760254092</v>
      </c>
    </row>
    <row r="330" spans="1:13" x14ac:dyDescent="0.4">
      <c r="A330" s="1">
        <f t="shared" si="62"/>
        <v>16.400000000000098</v>
      </c>
      <c r="B330" s="1">
        <f t="shared" si="61"/>
        <v>0.2</v>
      </c>
      <c r="C330" s="1">
        <v>0.2</v>
      </c>
      <c r="D330" s="1">
        <f t="shared" si="63"/>
        <v>0</v>
      </c>
      <c r="E330" s="1">
        <f t="shared" si="64"/>
        <v>0</v>
      </c>
      <c r="F330" s="1">
        <f t="shared" si="65"/>
        <v>0.2</v>
      </c>
      <c r="G330" s="4">
        <f t="shared" si="66"/>
        <v>0</v>
      </c>
      <c r="H330" s="4">
        <f t="shared" si="67"/>
        <v>-4.6910914536463073</v>
      </c>
      <c r="I330" s="3">
        <f t="shared" si="68"/>
        <v>-268.77974160382365</v>
      </c>
      <c r="J330" s="2">
        <f t="shared" si="69"/>
        <v>-2.1295916736378481E-2</v>
      </c>
      <c r="K330" s="2">
        <f t="shared" si="70"/>
        <v>0.99977321624974391</v>
      </c>
      <c r="L330" s="4">
        <f t="shared" si="71"/>
        <v>3.1484441996662546E-2</v>
      </c>
      <c r="M330" s="4">
        <f t="shared" si="72"/>
        <v>2.0532054081879068</v>
      </c>
    </row>
    <row r="331" spans="1:13" x14ac:dyDescent="0.4">
      <c r="A331" s="1">
        <f t="shared" si="62"/>
        <v>16.450000000000099</v>
      </c>
      <c r="B331" s="1">
        <f t="shared" si="61"/>
        <v>0.2</v>
      </c>
      <c r="C331" s="1">
        <v>0.2</v>
      </c>
      <c r="D331" s="1">
        <f t="shared" si="63"/>
        <v>0</v>
      </c>
      <c r="E331" s="1">
        <f t="shared" si="64"/>
        <v>0</v>
      </c>
      <c r="F331" s="1">
        <f t="shared" si="65"/>
        <v>0.2</v>
      </c>
      <c r="G331" s="4">
        <f t="shared" si="66"/>
        <v>0</v>
      </c>
      <c r="H331" s="4">
        <f t="shared" si="67"/>
        <v>-4.6910914536463073</v>
      </c>
      <c r="I331" s="3">
        <f t="shared" si="68"/>
        <v>-268.77974160382365</v>
      </c>
      <c r="J331" s="2">
        <f t="shared" si="69"/>
        <v>-2.1295916736378481E-2</v>
      </c>
      <c r="K331" s="2">
        <f t="shared" si="70"/>
        <v>0.99977321624974391</v>
      </c>
      <c r="L331" s="4">
        <f t="shared" si="71"/>
        <v>3.1271482829298758E-2</v>
      </c>
      <c r="M331" s="4">
        <f t="shared" si="72"/>
        <v>2.0632031403504043</v>
      </c>
    </row>
    <row r="332" spans="1:13" x14ac:dyDescent="0.4">
      <c r="A332" s="1">
        <f t="shared" si="62"/>
        <v>16.500000000000099</v>
      </c>
      <c r="B332" s="1">
        <f t="shared" si="61"/>
        <v>0.2</v>
      </c>
      <c r="C332" s="1">
        <v>0.2</v>
      </c>
      <c r="D332" s="1">
        <f t="shared" si="63"/>
        <v>0</v>
      </c>
      <c r="E332" s="1">
        <f t="shared" si="64"/>
        <v>0</v>
      </c>
      <c r="F332" s="1">
        <f t="shared" si="65"/>
        <v>0.2</v>
      </c>
      <c r="G332" s="4">
        <f t="shared" si="66"/>
        <v>0</v>
      </c>
      <c r="H332" s="4">
        <f t="shared" si="67"/>
        <v>-4.6910914536463073</v>
      </c>
      <c r="I332" s="3">
        <f t="shared" si="68"/>
        <v>-268.77974160382365</v>
      </c>
      <c r="J332" s="2">
        <f t="shared" si="69"/>
        <v>-2.1295916736378481E-2</v>
      </c>
      <c r="K332" s="2">
        <f t="shared" si="70"/>
        <v>0.99977321624974391</v>
      </c>
      <c r="L332" s="4">
        <f t="shared" si="71"/>
        <v>3.1058523661934973E-2</v>
      </c>
      <c r="M332" s="4">
        <f t="shared" si="72"/>
        <v>2.0732008725129019</v>
      </c>
    </row>
    <row r="333" spans="1:13" x14ac:dyDescent="0.4">
      <c r="A333" s="1">
        <f t="shared" si="62"/>
        <v>16.5500000000001</v>
      </c>
      <c r="B333" s="1">
        <f t="shared" si="61"/>
        <v>0.2</v>
      </c>
      <c r="C333" s="1">
        <v>0.2</v>
      </c>
      <c r="D333" s="1">
        <f t="shared" si="63"/>
        <v>0</v>
      </c>
      <c r="E333" s="1">
        <f t="shared" si="64"/>
        <v>0</v>
      </c>
      <c r="F333" s="1">
        <f t="shared" si="65"/>
        <v>0.2</v>
      </c>
      <c r="G333" s="4">
        <f t="shared" si="66"/>
        <v>0</v>
      </c>
      <c r="H333" s="4">
        <f t="shared" si="67"/>
        <v>-4.6910914536463073</v>
      </c>
      <c r="I333" s="3">
        <f t="shared" si="68"/>
        <v>-268.77974160382365</v>
      </c>
      <c r="J333" s="2">
        <f t="shared" si="69"/>
        <v>-2.1295916736378481E-2</v>
      </c>
      <c r="K333" s="2">
        <f t="shared" si="70"/>
        <v>0.99977321624974391</v>
      </c>
      <c r="L333" s="4">
        <f t="shared" si="71"/>
        <v>3.0845564494571188E-2</v>
      </c>
      <c r="M333" s="4">
        <f t="shared" si="72"/>
        <v>2.0831986046753994</v>
      </c>
    </row>
    <row r="334" spans="1:13" x14ac:dyDescent="0.4">
      <c r="A334" s="1">
        <f t="shared" si="62"/>
        <v>16.600000000000101</v>
      </c>
      <c r="B334" s="1">
        <f t="shared" si="61"/>
        <v>0.2</v>
      </c>
      <c r="C334" s="1">
        <v>0.2</v>
      </c>
      <c r="D334" s="1">
        <f t="shared" si="63"/>
        <v>0</v>
      </c>
      <c r="E334" s="1">
        <f t="shared" si="64"/>
        <v>0</v>
      </c>
      <c r="F334" s="1">
        <f t="shared" si="65"/>
        <v>0.2</v>
      </c>
      <c r="G334" s="4">
        <f t="shared" si="66"/>
        <v>0</v>
      </c>
      <c r="H334" s="4">
        <f t="shared" si="67"/>
        <v>-4.6910914536463073</v>
      </c>
      <c r="I334" s="3">
        <f t="shared" si="68"/>
        <v>-268.77974160382365</v>
      </c>
      <c r="J334" s="2">
        <f t="shared" si="69"/>
        <v>-2.1295916736378481E-2</v>
      </c>
      <c r="K334" s="2">
        <f t="shared" si="70"/>
        <v>0.99977321624974391</v>
      </c>
      <c r="L334" s="4">
        <f t="shared" si="71"/>
        <v>3.0632605327207404E-2</v>
      </c>
      <c r="M334" s="4">
        <f t="shared" si="72"/>
        <v>2.093196336837897</v>
      </c>
    </row>
    <row r="335" spans="1:13" x14ac:dyDescent="0.4">
      <c r="A335" s="1">
        <f t="shared" si="62"/>
        <v>16.650000000000102</v>
      </c>
      <c r="B335" s="1">
        <f t="shared" si="61"/>
        <v>0.2</v>
      </c>
      <c r="C335" s="1">
        <v>0.2</v>
      </c>
      <c r="D335" s="1">
        <f t="shared" si="63"/>
        <v>0</v>
      </c>
      <c r="E335" s="1">
        <f t="shared" si="64"/>
        <v>0</v>
      </c>
      <c r="F335" s="1">
        <f t="shared" si="65"/>
        <v>0.2</v>
      </c>
      <c r="G335" s="4">
        <f t="shared" si="66"/>
        <v>0</v>
      </c>
      <c r="H335" s="4">
        <f t="shared" si="67"/>
        <v>-4.6910914536463073</v>
      </c>
      <c r="I335" s="3">
        <f t="shared" si="68"/>
        <v>-268.77974160382365</v>
      </c>
      <c r="J335" s="2">
        <f t="shared" si="69"/>
        <v>-2.1295916736378481E-2</v>
      </c>
      <c r="K335" s="2">
        <f t="shared" si="70"/>
        <v>0.99977321624974391</v>
      </c>
      <c r="L335" s="4">
        <f t="shared" si="71"/>
        <v>3.0419646159843619E-2</v>
      </c>
      <c r="M335" s="4">
        <f t="shared" si="72"/>
        <v>2.1031940690003945</v>
      </c>
    </row>
    <row r="336" spans="1:13" x14ac:dyDescent="0.4">
      <c r="A336" s="1">
        <f t="shared" si="62"/>
        <v>16.700000000000102</v>
      </c>
      <c r="B336" s="1">
        <f t="shared" si="61"/>
        <v>0.2</v>
      </c>
      <c r="C336" s="1">
        <v>0.2</v>
      </c>
      <c r="D336" s="1">
        <f t="shared" si="63"/>
        <v>0</v>
      </c>
      <c r="E336" s="1">
        <f t="shared" si="64"/>
        <v>0</v>
      </c>
      <c r="F336" s="1">
        <f t="shared" si="65"/>
        <v>0.2</v>
      </c>
      <c r="G336" s="4">
        <f t="shared" si="66"/>
        <v>0</v>
      </c>
      <c r="H336" s="4">
        <f t="shared" si="67"/>
        <v>-4.6910914536463073</v>
      </c>
      <c r="I336" s="3">
        <f t="shared" si="68"/>
        <v>-268.77974160382365</v>
      </c>
      <c r="J336" s="2">
        <f t="shared" si="69"/>
        <v>-2.1295916736378481E-2</v>
      </c>
      <c r="K336" s="2">
        <f t="shared" si="70"/>
        <v>0.99977321624974391</v>
      </c>
      <c r="L336" s="4">
        <f t="shared" si="71"/>
        <v>3.0206686992479834E-2</v>
      </c>
      <c r="M336" s="4">
        <f t="shared" si="72"/>
        <v>2.1131918011628921</v>
      </c>
    </row>
    <row r="337" spans="1:13" x14ac:dyDescent="0.4">
      <c r="A337" s="1">
        <f t="shared" si="62"/>
        <v>16.750000000000103</v>
      </c>
      <c r="B337" s="1">
        <f t="shared" si="61"/>
        <v>0.2</v>
      </c>
      <c r="C337" s="1">
        <v>0.2</v>
      </c>
      <c r="D337" s="1">
        <f t="shared" si="63"/>
        <v>0</v>
      </c>
      <c r="E337" s="1">
        <f t="shared" si="64"/>
        <v>0</v>
      </c>
      <c r="F337" s="1">
        <f t="shared" si="65"/>
        <v>0.2</v>
      </c>
      <c r="G337" s="4">
        <f t="shared" si="66"/>
        <v>0</v>
      </c>
      <c r="H337" s="4">
        <f t="shared" si="67"/>
        <v>-4.6910914536463073</v>
      </c>
      <c r="I337" s="3">
        <f t="shared" si="68"/>
        <v>-268.77974160382365</v>
      </c>
      <c r="J337" s="2">
        <f t="shared" si="69"/>
        <v>-2.1295916736378481E-2</v>
      </c>
      <c r="K337" s="2">
        <f t="shared" si="70"/>
        <v>0.99977321624974391</v>
      </c>
      <c r="L337" s="4">
        <f t="shared" si="71"/>
        <v>2.999372782511605E-2</v>
      </c>
      <c r="M337" s="4">
        <f t="shared" si="72"/>
        <v>2.1231895333253896</v>
      </c>
    </row>
    <row r="338" spans="1:13" x14ac:dyDescent="0.4">
      <c r="A338" s="1">
        <f t="shared" si="62"/>
        <v>16.800000000000104</v>
      </c>
      <c r="B338" s="1">
        <f t="shared" si="61"/>
        <v>0.2</v>
      </c>
      <c r="C338" s="1">
        <v>0.2</v>
      </c>
      <c r="D338" s="1">
        <f t="shared" si="63"/>
        <v>0</v>
      </c>
      <c r="E338" s="1">
        <f t="shared" si="64"/>
        <v>0</v>
      </c>
      <c r="F338" s="1">
        <f t="shared" si="65"/>
        <v>0.2</v>
      </c>
      <c r="G338" s="4">
        <f t="shared" si="66"/>
        <v>0</v>
      </c>
      <c r="H338" s="4">
        <f t="shared" si="67"/>
        <v>-4.6910914536463073</v>
      </c>
      <c r="I338" s="3">
        <f t="shared" si="68"/>
        <v>-268.77974160382365</v>
      </c>
      <c r="J338" s="2">
        <f t="shared" si="69"/>
        <v>-2.1295916736378481E-2</v>
      </c>
      <c r="K338" s="2">
        <f t="shared" si="70"/>
        <v>0.99977321624974391</v>
      </c>
      <c r="L338" s="4">
        <f t="shared" si="71"/>
        <v>2.9780768657752265E-2</v>
      </c>
      <c r="M338" s="4">
        <f t="shared" si="72"/>
        <v>2.1331872654878872</v>
      </c>
    </row>
    <row r="339" spans="1:13" x14ac:dyDescent="0.4">
      <c r="A339" s="1">
        <f t="shared" si="62"/>
        <v>16.850000000000104</v>
      </c>
      <c r="B339" s="1">
        <f t="shared" si="61"/>
        <v>0.2</v>
      </c>
      <c r="C339" s="1">
        <v>0.2</v>
      </c>
      <c r="D339" s="1">
        <f t="shared" si="63"/>
        <v>0</v>
      </c>
      <c r="E339" s="1">
        <f t="shared" si="64"/>
        <v>0</v>
      </c>
      <c r="F339" s="1">
        <f t="shared" si="65"/>
        <v>0.2</v>
      </c>
      <c r="G339" s="4">
        <f t="shared" si="66"/>
        <v>0</v>
      </c>
      <c r="H339" s="4">
        <f t="shared" si="67"/>
        <v>-4.6910914536463073</v>
      </c>
      <c r="I339" s="3">
        <f t="shared" si="68"/>
        <v>-268.77974160382365</v>
      </c>
      <c r="J339" s="2">
        <f t="shared" si="69"/>
        <v>-2.1295916736378481E-2</v>
      </c>
      <c r="K339" s="2">
        <f t="shared" si="70"/>
        <v>0.99977321624974391</v>
      </c>
      <c r="L339" s="4">
        <f t="shared" si="71"/>
        <v>2.956780949038848E-2</v>
      </c>
      <c r="M339" s="4">
        <f t="shared" si="72"/>
        <v>2.1431849976503847</v>
      </c>
    </row>
    <row r="340" spans="1:13" x14ac:dyDescent="0.4">
      <c r="A340" s="1">
        <f t="shared" si="62"/>
        <v>16.900000000000105</v>
      </c>
      <c r="B340" s="1">
        <f t="shared" si="61"/>
        <v>0.2</v>
      </c>
      <c r="C340" s="1">
        <v>0.2</v>
      </c>
      <c r="D340" s="1">
        <f t="shared" si="63"/>
        <v>0</v>
      </c>
      <c r="E340" s="1">
        <f t="shared" si="64"/>
        <v>0</v>
      </c>
      <c r="F340" s="1">
        <f t="shared" si="65"/>
        <v>0.2</v>
      </c>
      <c r="G340" s="4">
        <f t="shared" si="66"/>
        <v>0</v>
      </c>
      <c r="H340" s="4">
        <f t="shared" si="67"/>
        <v>-4.6910914536463073</v>
      </c>
      <c r="I340" s="3">
        <f t="shared" si="68"/>
        <v>-268.77974160382365</v>
      </c>
      <c r="J340" s="2">
        <f t="shared" si="69"/>
        <v>-2.1295916736378481E-2</v>
      </c>
      <c r="K340" s="2">
        <f t="shared" si="70"/>
        <v>0.99977321624974391</v>
      </c>
      <c r="L340" s="4">
        <f t="shared" si="71"/>
        <v>2.9354850323024696E-2</v>
      </c>
      <c r="M340" s="4">
        <f t="shared" si="72"/>
        <v>2.1531827298128823</v>
      </c>
    </row>
    <row r="341" spans="1:13" x14ac:dyDescent="0.4">
      <c r="A341" s="1">
        <f t="shared" si="62"/>
        <v>16.950000000000106</v>
      </c>
      <c r="B341" s="1">
        <f t="shared" si="61"/>
        <v>0.2</v>
      </c>
      <c r="C341" s="1">
        <v>0.2</v>
      </c>
      <c r="D341" s="1">
        <f t="shared" si="63"/>
        <v>0</v>
      </c>
      <c r="E341" s="1">
        <f t="shared" si="64"/>
        <v>0</v>
      </c>
      <c r="F341" s="1">
        <f t="shared" si="65"/>
        <v>0.2</v>
      </c>
      <c r="G341" s="4">
        <f t="shared" si="66"/>
        <v>0</v>
      </c>
      <c r="H341" s="4">
        <f t="shared" si="67"/>
        <v>-4.6910914536463073</v>
      </c>
      <c r="I341" s="3">
        <f t="shared" si="68"/>
        <v>-268.77974160382365</v>
      </c>
      <c r="J341" s="2">
        <f t="shared" si="69"/>
        <v>-2.1295916736378481E-2</v>
      </c>
      <c r="K341" s="2">
        <f t="shared" si="70"/>
        <v>0.99977321624974391</v>
      </c>
      <c r="L341" s="4">
        <f t="shared" si="71"/>
        <v>2.9141891155660911E-2</v>
      </c>
      <c r="M341" s="4">
        <f t="shared" si="72"/>
        <v>2.1631804619753798</v>
      </c>
    </row>
    <row r="342" spans="1:13" x14ac:dyDescent="0.4">
      <c r="A342" s="1">
        <f t="shared" si="62"/>
        <v>17.000000000000107</v>
      </c>
      <c r="B342" s="1">
        <f t="shared" si="61"/>
        <v>0.2</v>
      </c>
      <c r="C342" s="1">
        <v>0.2</v>
      </c>
      <c r="D342" s="1">
        <f t="shared" si="63"/>
        <v>0</v>
      </c>
      <c r="E342" s="1">
        <f t="shared" si="64"/>
        <v>0</v>
      </c>
      <c r="F342" s="1">
        <f t="shared" si="65"/>
        <v>0.2</v>
      </c>
      <c r="G342" s="4">
        <f t="shared" si="66"/>
        <v>0</v>
      </c>
      <c r="H342" s="4">
        <f t="shared" si="67"/>
        <v>-4.6910914536463073</v>
      </c>
      <c r="I342" s="3">
        <f t="shared" si="68"/>
        <v>-268.77974160382365</v>
      </c>
      <c r="J342" s="2">
        <f t="shared" si="69"/>
        <v>-2.1295916736378481E-2</v>
      </c>
      <c r="K342" s="2">
        <f t="shared" si="70"/>
        <v>0.99977321624974391</v>
      </c>
      <c r="L342" s="4">
        <f t="shared" si="71"/>
        <v>2.8928931988297126E-2</v>
      </c>
      <c r="M342" s="4">
        <f t="shared" si="72"/>
        <v>2.1731781941378774</v>
      </c>
    </row>
    <row r="343" spans="1:13" x14ac:dyDescent="0.4">
      <c r="A343" s="1">
        <f t="shared" si="62"/>
        <v>17.050000000000107</v>
      </c>
      <c r="B343" s="1">
        <f t="shared" si="61"/>
        <v>0.2</v>
      </c>
      <c r="C343" s="1">
        <v>0.2</v>
      </c>
      <c r="D343" s="1">
        <f t="shared" si="63"/>
        <v>0</v>
      </c>
      <c r="E343" s="1">
        <f t="shared" si="64"/>
        <v>0</v>
      </c>
      <c r="F343" s="1">
        <f t="shared" si="65"/>
        <v>0.2</v>
      </c>
      <c r="G343" s="4">
        <f t="shared" si="66"/>
        <v>0</v>
      </c>
      <c r="H343" s="4">
        <f t="shared" si="67"/>
        <v>-4.6910914536463073</v>
      </c>
      <c r="I343" s="3">
        <f t="shared" si="68"/>
        <v>-268.77974160382365</v>
      </c>
      <c r="J343" s="2">
        <f t="shared" si="69"/>
        <v>-2.1295916736378481E-2</v>
      </c>
      <c r="K343" s="2">
        <f t="shared" si="70"/>
        <v>0.99977321624974391</v>
      </c>
      <c r="L343" s="4">
        <f t="shared" si="71"/>
        <v>2.8715972820933341E-2</v>
      </c>
      <c r="M343" s="4">
        <f t="shared" si="72"/>
        <v>2.1831759263003749</v>
      </c>
    </row>
    <row r="344" spans="1:13" x14ac:dyDescent="0.4">
      <c r="A344" s="1">
        <f t="shared" si="62"/>
        <v>17.100000000000108</v>
      </c>
      <c r="B344" s="1">
        <f t="shared" si="61"/>
        <v>0.2</v>
      </c>
      <c r="C344" s="1">
        <v>0.2</v>
      </c>
      <c r="D344" s="1">
        <f t="shared" si="63"/>
        <v>0</v>
      </c>
      <c r="E344" s="1">
        <f t="shared" si="64"/>
        <v>0</v>
      </c>
      <c r="F344" s="1">
        <f t="shared" si="65"/>
        <v>0.2</v>
      </c>
      <c r="G344" s="4">
        <f t="shared" si="66"/>
        <v>0</v>
      </c>
      <c r="H344" s="4">
        <f t="shared" si="67"/>
        <v>-4.6910914536463073</v>
      </c>
      <c r="I344" s="3">
        <f t="shared" si="68"/>
        <v>-268.77974160382365</v>
      </c>
      <c r="J344" s="2">
        <f t="shared" si="69"/>
        <v>-2.1295916736378481E-2</v>
      </c>
      <c r="K344" s="2">
        <f t="shared" si="70"/>
        <v>0.99977321624974391</v>
      </c>
      <c r="L344" s="4">
        <f t="shared" si="71"/>
        <v>2.8503013653569557E-2</v>
      </c>
      <c r="M344" s="4">
        <f t="shared" si="72"/>
        <v>2.1931736584628725</v>
      </c>
    </row>
    <row r="345" spans="1:13" x14ac:dyDescent="0.4">
      <c r="A345" s="1">
        <f t="shared" si="62"/>
        <v>17.150000000000109</v>
      </c>
      <c r="B345" s="1">
        <f t="shared" si="61"/>
        <v>0.2</v>
      </c>
      <c r="C345" s="1">
        <v>0.2</v>
      </c>
      <c r="D345" s="1">
        <f t="shared" si="63"/>
        <v>0</v>
      </c>
      <c r="E345" s="1">
        <f t="shared" si="64"/>
        <v>0</v>
      </c>
      <c r="F345" s="1">
        <f t="shared" si="65"/>
        <v>0.2</v>
      </c>
      <c r="G345" s="4">
        <f t="shared" si="66"/>
        <v>0</v>
      </c>
      <c r="H345" s="4">
        <f t="shared" si="67"/>
        <v>-4.6910914536463073</v>
      </c>
      <c r="I345" s="3">
        <f t="shared" si="68"/>
        <v>-268.77974160382365</v>
      </c>
      <c r="J345" s="2">
        <f t="shared" si="69"/>
        <v>-2.1295916736378481E-2</v>
      </c>
      <c r="K345" s="2">
        <f t="shared" si="70"/>
        <v>0.99977321624974391</v>
      </c>
      <c r="L345" s="4">
        <f t="shared" si="71"/>
        <v>2.8290054486205772E-2</v>
      </c>
      <c r="M345" s="4">
        <f t="shared" si="72"/>
        <v>2.20317139062537</v>
      </c>
    </row>
    <row r="346" spans="1:13" x14ac:dyDescent="0.4">
      <c r="A346" s="1">
        <f t="shared" si="62"/>
        <v>17.200000000000109</v>
      </c>
      <c r="B346" s="1">
        <f t="shared" si="61"/>
        <v>0.2</v>
      </c>
      <c r="C346" s="1">
        <v>0.2</v>
      </c>
      <c r="D346" s="1">
        <f t="shared" si="63"/>
        <v>0</v>
      </c>
      <c r="E346" s="1">
        <f t="shared" si="64"/>
        <v>0</v>
      </c>
      <c r="F346" s="1">
        <f t="shared" si="65"/>
        <v>0.2</v>
      </c>
      <c r="G346" s="4">
        <f t="shared" si="66"/>
        <v>0</v>
      </c>
      <c r="H346" s="4">
        <f t="shared" si="67"/>
        <v>-4.6910914536463073</v>
      </c>
      <c r="I346" s="3">
        <f t="shared" si="68"/>
        <v>-268.77974160382365</v>
      </c>
      <c r="J346" s="2">
        <f t="shared" si="69"/>
        <v>-2.1295916736378481E-2</v>
      </c>
      <c r="K346" s="2">
        <f t="shared" si="70"/>
        <v>0.99977321624974391</v>
      </c>
      <c r="L346" s="4">
        <f t="shared" si="71"/>
        <v>2.8077095318841987E-2</v>
      </c>
      <c r="M346" s="4">
        <f t="shared" si="72"/>
        <v>2.2131691227878676</v>
      </c>
    </row>
    <row r="347" spans="1:13" x14ac:dyDescent="0.4">
      <c r="A347" s="1">
        <f t="shared" si="62"/>
        <v>17.25000000000011</v>
      </c>
      <c r="B347" s="1">
        <f t="shared" si="61"/>
        <v>0.2</v>
      </c>
      <c r="C347" s="1">
        <v>0.2</v>
      </c>
      <c r="D347" s="1">
        <f t="shared" si="63"/>
        <v>0</v>
      </c>
      <c r="E347" s="1">
        <f t="shared" si="64"/>
        <v>0</v>
      </c>
      <c r="F347" s="1">
        <f t="shared" si="65"/>
        <v>0.2</v>
      </c>
      <c r="G347" s="4">
        <f t="shared" si="66"/>
        <v>0</v>
      </c>
      <c r="H347" s="4">
        <f t="shared" si="67"/>
        <v>-4.6910914536463073</v>
      </c>
      <c r="I347" s="3">
        <f t="shared" si="68"/>
        <v>-268.77974160382365</v>
      </c>
      <c r="J347" s="2">
        <f t="shared" si="69"/>
        <v>-2.1295916736378481E-2</v>
      </c>
      <c r="K347" s="2">
        <f t="shared" si="70"/>
        <v>0.99977321624974391</v>
      </c>
      <c r="L347" s="4">
        <f t="shared" si="71"/>
        <v>2.7864136151478203E-2</v>
      </c>
      <c r="M347" s="4">
        <f t="shared" si="72"/>
        <v>2.2231668549503651</v>
      </c>
    </row>
    <row r="348" spans="1:13" x14ac:dyDescent="0.4">
      <c r="A348" s="1">
        <f t="shared" si="62"/>
        <v>17.300000000000111</v>
      </c>
      <c r="B348" s="1">
        <f t="shared" si="61"/>
        <v>0.2</v>
      </c>
      <c r="C348" s="1">
        <v>0.2</v>
      </c>
      <c r="D348" s="1">
        <f t="shared" si="63"/>
        <v>0</v>
      </c>
      <c r="E348" s="1">
        <f t="shared" si="64"/>
        <v>0</v>
      </c>
      <c r="F348" s="1">
        <f t="shared" si="65"/>
        <v>0.2</v>
      </c>
      <c r="G348" s="4">
        <f t="shared" si="66"/>
        <v>0</v>
      </c>
      <c r="H348" s="4">
        <f t="shared" si="67"/>
        <v>-4.6910914536463073</v>
      </c>
      <c r="I348" s="3">
        <f t="shared" si="68"/>
        <v>-268.77974160382365</v>
      </c>
      <c r="J348" s="2">
        <f t="shared" si="69"/>
        <v>-2.1295916736378481E-2</v>
      </c>
      <c r="K348" s="2">
        <f t="shared" si="70"/>
        <v>0.99977321624974391</v>
      </c>
      <c r="L348" s="4">
        <f t="shared" si="71"/>
        <v>2.7651176984114418E-2</v>
      </c>
      <c r="M348" s="4">
        <f t="shared" si="72"/>
        <v>2.2331645871128627</v>
      </c>
    </row>
    <row r="349" spans="1:13" x14ac:dyDescent="0.4">
      <c r="A349" s="1">
        <f t="shared" si="62"/>
        <v>17.350000000000112</v>
      </c>
      <c r="B349" s="1">
        <f t="shared" si="61"/>
        <v>0.2</v>
      </c>
      <c r="C349" s="1">
        <v>0.2</v>
      </c>
      <c r="D349" s="1">
        <f t="shared" si="63"/>
        <v>0</v>
      </c>
      <c r="E349" s="1">
        <f t="shared" si="64"/>
        <v>0</v>
      </c>
      <c r="F349" s="1">
        <f t="shared" si="65"/>
        <v>0.2</v>
      </c>
      <c r="G349" s="4">
        <f t="shared" si="66"/>
        <v>0</v>
      </c>
      <c r="H349" s="4">
        <f t="shared" si="67"/>
        <v>-4.6910914536463073</v>
      </c>
      <c r="I349" s="3">
        <f t="shared" si="68"/>
        <v>-268.77974160382365</v>
      </c>
      <c r="J349" s="2">
        <f t="shared" si="69"/>
        <v>-2.1295916736378481E-2</v>
      </c>
      <c r="K349" s="2">
        <f t="shared" si="70"/>
        <v>0.99977321624974391</v>
      </c>
      <c r="L349" s="4">
        <f t="shared" si="71"/>
        <v>2.7438217816750633E-2</v>
      </c>
      <c r="M349" s="4">
        <f t="shared" si="72"/>
        <v>2.2431623192753603</v>
      </c>
    </row>
    <row r="350" spans="1:13" x14ac:dyDescent="0.4">
      <c r="A350" s="1">
        <f t="shared" si="62"/>
        <v>17.400000000000112</v>
      </c>
      <c r="B350" s="1">
        <f t="shared" si="61"/>
        <v>0.2</v>
      </c>
      <c r="C350" s="1">
        <v>0.2</v>
      </c>
      <c r="D350" s="1">
        <f t="shared" si="63"/>
        <v>0</v>
      </c>
      <c r="E350" s="1">
        <f t="shared" si="64"/>
        <v>0</v>
      </c>
      <c r="F350" s="1">
        <f t="shared" si="65"/>
        <v>0.2</v>
      </c>
      <c r="G350" s="4">
        <f t="shared" si="66"/>
        <v>0</v>
      </c>
      <c r="H350" s="4">
        <f t="shared" si="67"/>
        <v>-4.6910914536463073</v>
      </c>
      <c r="I350" s="3">
        <f t="shared" si="68"/>
        <v>-268.77974160382365</v>
      </c>
      <c r="J350" s="2">
        <f t="shared" si="69"/>
        <v>-2.1295916736378481E-2</v>
      </c>
      <c r="K350" s="2">
        <f t="shared" si="70"/>
        <v>0.99977321624974391</v>
      </c>
      <c r="L350" s="4">
        <f t="shared" si="71"/>
        <v>2.7225258649386849E-2</v>
      </c>
      <c r="M350" s="4">
        <f t="shared" si="72"/>
        <v>2.2531600514378578</v>
      </c>
    </row>
    <row r="351" spans="1:13" x14ac:dyDescent="0.4">
      <c r="A351" s="1">
        <f t="shared" si="62"/>
        <v>17.450000000000113</v>
      </c>
      <c r="B351" s="1">
        <f t="shared" si="61"/>
        <v>0.2</v>
      </c>
      <c r="C351" s="1">
        <v>0.2</v>
      </c>
      <c r="D351" s="1">
        <f t="shared" si="63"/>
        <v>0</v>
      </c>
      <c r="E351" s="1">
        <f t="shared" si="64"/>
        <v>0</v>
      </c>
      <c r="F351" s="1">
        <f t="shared" si="65"/>
        <v>0.2</v>
      </c>
      <c r="G351" s="4">
        <f t="shared" si="66"/>
        <v>0</v>
      </c>
      <c r="H351" s="4">
        <f t="shared" si="67"/>
        <v>-4.6910914536463073</v>
      </c>
      <c r="I351" s="3">
        <f t="shared" si="68"/>
        <v>-268.77974160382365</v>
      </c>
      <c r="J351" s="2">
        <f t="shared" si="69"/>
        <v>-2.1295916736378481E-2</v>
      </c>
      <c r="K351" s="2">
        <f t="shared" si="70"/>
        <v>0.99977321624974391</v>
      </c>
      <c r="L351" s="4">
        <f t="shared" si="71"/>
        <v>2.7012299482023064E-2</v>
      </c>
      <c r="M351" s="4">
        <f t="shared" si="72"/>
        <v>2.2631577836003554</v>
      </c>
    </row>
    <row r="352" spans="1:13" x14ac:dyDescent="0.4">
      <c r="A352" s="1">
        <f t="shared" si="62"/>
        <v>17.500000000000114</v>
      </c>
      <c r="B352" s="1">
        <f t="shared" si="61"/>
        <v>0.2</v>
      </c>
      <c r="C352" s="1">
        <v>0.2</v>
      </c>
      <c r="D352" s="1">
        <f t="shared" si="63"/>
        <v>0</v>
      </c>
      <c r="E352" s="1">
        <f t="shared" si="64"/>
        <v>0</v>
      </c>
      <c r="F352" s="1">
        <f t="shared" si="65"/>
        <v>0.2</v>
      </c>
      <c r="G352" s="4">
        <f t="shared" si="66"/>
        <v>0</v>
      </c>
      <c r="H352" s="4">
        <f t="shared" si="67"/>
        <v>-4.6910914536463073</v>
      </c>
      <c r="I352" s="3">
        <f t="shared" si="68"/>
        <v>-268.77974160382365</v>
      </c>
      <c r="J352" s="2">
        <f t="shared" si="69"/>
        <v>-2.1295916736378481E-2</v>
      </c>
      <c r="K352" s="2">
        <f t="shared" si="70"/>
        <v>0.99977321624974391</v>
      </c>
      <c r="L352" s="4">
        <f t="shared" si="71"/>
        <v>2.6799340314659279E-2</v>
      </c>
      <c r="M352" s="4">
        <f t="shared" si="72"/>
        <v>2.2731555157628529</v>
      </c>
    </row>
    <row r="353" spans="1:13" x14ac:dyDescent="0.4">
      <c r="A353" s="1">
        <f t="shared" si="62"/>
        <v>17.550000000000114</v>
      </c>
      <c r="B353" s="1">
        <f t="shared" si="61"/>
        <v>0.2</v>
      </c>
      <c r="C353" s="1">
        <v>0.2</v>
      </c>
      <c r="D353" s="1">
        <f t="shared" si="63"/>
        <v>0</v>
      </c>
      <c r="E353" s="1">
        <f t="shared" si="64"/>
        <v>0</v>
      </c>
      <c r="F353" s="1">
        <f t="shared" si="65"/>
        <v>0.2</v>
      </c>
      <c r="G353" s="4">
        <f t="shared" si="66"/>
        <v>0</v>
      </c>
      <c r="H353" s="4">
        <f t="shared" si="67"/>
        <v>-4.6910914536463073</v>
      </c>
      <c r="I353" s="3">
        <f t="shared" si="68"/>
        <v>-268.77974160382365</v>
      </c>
      <c r="J353" s="2">
        <f t="shared" si="69"/>
        <v>-2.1295916736378481E-2</v>
      </c>
      <c r="K353" s="2">
        <f t="shared" si="70"/>
        <v>0.99977321624974391</v>
      </c>
      <c r="L353" s="4">
        <f t="shared" si="71"/>
        <v>2.6586381147295494E-2</v>
      </c>
      <c r="M353" s="4">
        <f t="shared" si="72"/>
        <v>2.2831532479253505</v>
      </c>
    </row>
    <row r="354" spans="1:13" x14ac:dyDescent="0.4">
      <c r="A354" s="1">
        <f t="shared" si="62"/>
        <v>17.600000000000115</v>
      </c>
      <c r="B354" s="1">
        <f t="shared" si="61"/>
        <v>0.2</v>
      </c>
      <c r="C354" s="1">
        <v>0.2</v>
      </c>
      <c r="D354" s="1">
        <f t="shared" si="63"/>
        <v>0</v>
      </c>
      <c r="E354" s="1">
        <f t="shared" si="64"/>
        <v>0</v>
      </c>
      <c r="F354" s="1">
        <f t="shared" si="65"/>
        <v>0.2</v>
      </c>
      <c r="G354" s="4">
        <f t="shared" si="66"/>
        <v>0</v>
      </c>
      <c r="H354" s="4">
        <f t="shared" si="67"/>
        <v>-4.6910914536463073</v>
      </c>
      <c r="I354" s="3">
        <f t="shared" si="68"/>
        <v>-268.77974160382365</v>
      </c>
      <c r="J354" s="2">
        <f t="shared" si="69"/>
        <v>-2.1295916736378481E-2</v>
      </c>
      <c r="K354" s="2">
        <f t="shared" si="70"/>
        <v>0.99977321624974391</v>
      </c>
      <c r="L354" s="4">
        <f t="shared" si="71"/>
        <v>2.637342197993171E-2</v>
      </c>
      <c r="M354" s="4">
        <f t="shared" si="72"/>
        <v>2.293150980087848</v>
      </c>
    </row>
    <row r="355" spans="1:13" x14ac:dyDescent="0.4">
      <c r="A355" s="1">
        <f t="shared" si="62"/>
        <v>17.650000000000116</v>
      </c>
      <c r="B355" s="1">
        <f t="shared" si="61"/>
        <v>0.2</v>
      </c>
      <c r="C355" s="1">
        <v>0.2</v>
      </c>
      <c r="D355" s="1">
        <f t="shared" si="63"/>
        <v>0</v>
      </c>
      <c r="E355" s="1">
        <f t="shared" si="64"/>
        <v>0</v>
      </c>
      <c r="F355" s="1">
        <f t="shared" si="65"/>
        <v>0.2</v>
      </c>
      <c r="G355" s="4">
        <f t="shared" si="66"/>
        <v>0</v>
      </c>
      <c r="H355" s="4">
        <f t="shared" si="67"/>
        <v>-4.6910914536463073</v>
      </c>
      <c r="I355" s="3">
        <f t="shared" si="68"/>
        <v>-268.77974160382365</v>
      </c>
      <c r="J355" s="2">
        <f t="shared" si="69"/>
        <v>-2.1295916736378481E-2</v>
      </c>
      <c r="K355" s="2">
        <f t="shared" si="70"/>
        <v>0.99977321624974391</v>
      </c>
      <c r="L355" s="4">
        <f t="shared" si="71"/>
        <v>2.6160462812567925E-2</v>
      </c>
      <c r="M355" s="4">
        <f t="shared" si="72"/>
        <v>2.3031487122503456</v>
      </c>
    </row>
    <row r="356" spans="1:13" x14ac:dyDescent="0.4">
      <c r="A356" s="1">
        <f t="shared" si="62"/>
        <v>17.700000000000117</v>
      </c>
      <c r="B356" s="1">
        <f t="shared" si="61"/>
        <v>0.2</v>
      </c>
      <c r="C356" s="1">
        <v>0.2</v>
      </c>
      <c r="D356" s="1">
        <f t="shared" si="63"/>
        <v>0</v>
      </c>
      <c r="E356" s="1">
        <f t="shared" si="64"/>
        <v>0</v>
      </c>
      <c r="F356" s="1">
        <f t="shared" si="65"/>
        <v>0.2</v>
      </c>
      <c r="G356" s="4">
        <f t="shared" si="66"/>
        <v>0</v>
      </c>
      <c r="H356" s="4">
        <f t="shared" si="67"/>
        <v>-4.6910914536463073</v>
      </c>
      <c r="I356" s="3">
        <f t="shared" si="68"/>
        <v>-268.77974160382365</v>
      </c>
      <c r="J356" s="2">
        <f t="shared" si="69"/>
        <v>-2.1295916736378481E-2</v>
      </c>
      <c r="K356" s="2">
        <f t="shared" si="70"/>
        <v>0.99977321624974391</v>
      </c>
      <c r="L356" s="4">
        <f t="shared" si="71"/>
        <v>2.594750364520414E-2</v>
      </c>
      <c r="M356" s="4">
        <f t="shared" si="72"/>
        <v>2.3131464444128431</v>
      </c>
    </row>
    <row r="357" spans="1:13" x14ac:dyDescent="0.4">
      <c r="A357" s="1">
        <f t="shared" si="62"/>
        <v>17.750000000000117</v>
      </c>
      <c r="B357" s="1">
        <f t="shared" si="61"/>
        <v>0.2</v>
      </c>
      <c r="C357" s="1">
        <v>0.2</v>
      </c>
      <c r="D357" s="1">
        <f t="shared" si="63"/>
        <v>0</v>
      </c>
      <c r="E357" s="1">
        <f t="shared" si="64"/>
        <v>0</v>
      </c>
      <c r="F357" s="1">
        <f t="shared" si="65"/>
        <v>0.2</v>
      </c>
      <c r="G357" s="4">
        <f t="shared" si="66"/>
        <v>0</v>
      </c>
      <c r="H357" s="4">
        <f t="shared" si="67"/>
        <v>-4.6910914536463073</v>
      </c>
      <c r="I357" s="3">
        <f t="shared" si="68"/>
        <v>-268.77974160382365</v>
      </c>
      <c r="J357" s="2">
        <f t="shared" si="69"/>
        <v>-2.1295916736378481E-2</v>
      </c>
      <c r="K357" s="2">
        <f t="shared" si="70"/>
        <v>0.99977321624974391</v>
      </c>
      <c r="L357" s="4">
        <f t="shared" si="71"/>
        <v>2.5734544477840356E-2</v>
      </c>
      <c r="M357" s="4">
        <f t="shared" si="72"/>
        <v>2.3231441765753407</v>
      </c>
    </row>
    <row r="358" spans="1:13" x14ac:dyDescent="0.4">
      <c r="A358" s="1">
        <f t="shared" si="62"/>
        <v>17.800000000000118</v>
      </c>
      <c r="B358" s="1">
        <f t="shared" si="61"/>
        <v>0.2</v>
      </c>
      <c r="C358" s="1">
        <v>0.2</v>
      </c>
      <c r="D358" s="1">
        <f t="shared" si="63"/>
        <v>0</v>
      </c>
      <c r="E358" s="1">
        <f t="shared" si="64"/>
        <v>0</v>
      </c>
      <c r="F358" s="1">
        <f t="shared" si="65"/>
        <v>0.2</v>
      </c>
      <c r="G358" s="4">
        <f t="shared" si="66"/>
        <v>0</v>
      </c>
      <c r="H358" s="4">
        <f t="shared" si="67"/>
        <v>-4.6910914536463073</v>
      </c>
      <c r="I358" s="3">
        <f t="shared" si="68"/>
        <v>-268.77974160382365</v>
      </c>
      <c r="J358" s="2">
        <f t="shared" si="69"/>
        <v>-2.1295916736378481E-2</v>
      </c>
      <c r="K358" s="2">
        <f t="shared" si="70"/>
        <v>0.99977321624974391</v>
      </c>
      <c r="L358" s="4">
        <f t="shared" si="71"/>
        <v>2.5521585310476571E-2</v>
      </c>
      <c r="M358" s="4">
        <f t="shared" si="72"/>
        <v>2.3331419087378382</v>
      </c>
    </row>
    <row r="359" spans="1:13" x14ac:dyDescent="0.4">
      <c r="A359" s="1">
        <f t="shared" si="62"/>
        <v>17.850000000000119</v>
      </c>
      <c r="B359" s="1">
        <f t="shared" si="61"/>
        <v>0.2</v>
      </c>
      <c r="C359" s="1">
        <v>0.2</v>
      </c>
      <c r="D359" s="1">
        <f t="shared" si="63"/>
        <v>0</v>
      </c>
      <c r="E359" s="1">
        <f t="shared" si="64"/>
        <v>0</v>
      </c>
      <c r="F359" s="1">
        <f t="shared" si="65"/>
        <v>0.2</v>
      </c>
      <c r="G359" s="4">
        <f t="shared" si="66"/>
        <v>0</v>
      </c>
      <c r="H359" s="4">
        <f t="shared" si="67"/>
        <v>-4.6910914536463073</v>
      </c>
      <c r="I359" s="3">
        <f t="shared" si="68"/>
        <v>-268.77974160382365</v>
      </c>
      <c r="J359" s="2">
        <f t="shared" si="69"/>
        <v>-2.1295916736378481E-2</v>
      </c>
      <c r="K359" s="2">
        <f t="shared" si="70"/>
        <v>0.99977321624974391</v>
      </c>
      <c r="L359" s="4">
        <f t="shared" si="71"/>
        <v>2.5308626143112786E-2</v>
      </c>
      <c r="M359" s="4">
        <f t="shared" si="72"/>
        <v>2.3431396409003358</v>
      </c>
    </row>
    <row r="360" spans="1:13" x14ac:dyDescent="0.4">
      <c r="A360" s="1">
        <f t="shared" si="62"/>
        <v>17.900000000000119</v>
      </c>
      <c r="B360" s="1">
        <f t="shared" si="61"/>
        <v>0.2</v>
      </c>
      <c r="C360" s="1">
        <v>0.2</v>
      </c>
      <c r="D360" s="1">
        <f t="shared" si="63"/>
        <v>0</v>
      </c>
      <c r="E360" s="1">
        <f t="shared" si="64"/>
        <v>0</v>
      </c>
      <c r="F360" s="1">
        <f t="shared" si="65"/>
        <v>0.2</v>
      </c>
      <c r="G360" s="4">
        <f t="shared" si="66"/>
        <v>0</v>
      </c>
      <c r="H360" s="4">
        <f t="shared" si="67"/>
        <v>-4.6910914536463073</v>
      </c>
      <c r="I360" s="3">
        <f t="shared" si="68"/>
        <v>-268.77974160382365</v>
      </c>
      <c r="J360" s="2">
        <f t="shared" si="69"/>
        <v>-2.1295916736378481E-2</v>
      </c>
      <c r="K360" s="2">
        <f t="shared" si="70"/>
        <v>0.99977321624974391</v>
      </c>
      <c r="L360" s="4">
        <f t="shared" si="71"/>
        <v>2.5095666975749002E-2</v>
      </c>
      <c r="M360" s="4">
        <f t="shared" si="72"/>
        <v>2.3531373730628333</v>
      </c>
    </row>
    <row r="361" spans="1:13" x14ac:dyDescent="0.4">
      <c r="A361" s="1">
        <f t="shared" si="62"/>
        <v>17.95000000000012</v>
      </c>
      <c r="B361" s="1">
        <f t="shared" si="61"/>
        <v>0.2</v>
      </c>
      <c r="C361" s="1">
        <v>0.2</v>
      </c>
      <c r="D361" s="1">
        <f t="shared" si="63"/>
        <v>0</v>
      </c>
      <c r="E361" s="1">
        <f t="shared" si="64"/>
        <v>0</v>
      </c>
      <c r="F361" s="1">
        <f t="shared" si="65"/>
        <v>0.2</v>
      </c>
      <c r="G361" s="4">
        <f t="shared" si="66"/>
        <v>0</v>
      </c>
      <c r="H361" s="4">
        <f t="shared" si="67"/>
        <v>-4.6910914536463073</v>
      </c>
      <c r="I361" s="3">
        <f t="shared" si="68"/>
        <v>-268.77974160382365</v>
      </c>
      <c r="J361" s="2">
        <f t="shared" si="69"/>
        <v>-2.1295916736378481E-2</v>
      </c>
      <c r="K361" s="2">
        <f t="shared" si="70"/>
        <v>0.99977321624974391</v>
      </c>
      <c r="L361" s="4">
        <f t="shared" si="71"/>
        <v>2.4882707808385217E-2</v>
      </c>
      <c r="M361" s="4">
        <f t="shared" si="72"/>
        <v>2.3631351052253309</v>
      </c>
    </row>
    <row r="362" spans="1:13" x14ac:dyDescent="0.4">
      <c r="A362" s="1">
        <f t="shared" si="62"/>
        <v>18.000000000000121</v>
      </c>
      <c r="B362" s="1">
        <f t="shared" si="61"/>
        <v>0.2</v>
      </c>
      <c r="C362" s="1">
        <v>0.2</v>
      </c>
      <c r="D362" s="1">
        <f t="shared" si="63"/>
        <v>0</v>
      </c>
      <c r="E362" s="1">
        <f t="shared" si="64"/>
        <v>0</v>
      </c>
      <c r="F362" s="1">
        <f t="shared" si="65"/>
        <v>0.2</v>
      </c>
      <c r="G362" s="4">
        <f t="shared" si="66"/>
        <v>0</v>
      </c>
      <c r="H362" s="4">
        <f t="shared" si="67"/>
        <v>-4.6910914536463073</v>
      </c>
      <c r="I362" s="3">
        <f t="shared" si="68"/>
        <v>-268.77974160382365</v>
      </c>
      <c r="J362" s="2">
        <f t="shared" si="69"/>
        <v>-2.1295916736378481E-2</v>
      </c>
      <c r="K362" s="2">
        <f t="shared" si="70"/>
        <v>0.99977321624974391</v>
      </c>
      <c r="L362" s="4">
        <f t="shared" si="71"/>
        <v>2.4669748641021432E-2</v>
      </c>
      <c r="M362" s="4">
        <f t="shared" si="72"/>
        <v>2.3731328373878284</v>
      </c>
    </row>
    <row r="363" spans="1:13" x14ac:dyDescent="0.4">
      <c r="A363" s="1">
        <f t="shared" si="62"/>
        <v>18.050000000000122</v>
      </c>
      <c r="B363" s="1">
        <f t="shared" si="61"/>
        <v>0.2</v>
      </c>
      <c r="C363" s="1">
        <v>0.2</v>
      </c>
      <c r="D363" s="1">
        <f t="shared" si="63"/>
        <v>0</v>
      </c>
      <c r="E363" s="1">
        <f t="shared" si="64"/>
        <v>0</v>
      </c>
      <c r="F363" s="1">
        <f t="shared" si="65"/>
        <v>0.2</v>
      </c>
      <c r="G363" s="4">
        <f t="shared" si="66"/>
        <v>0</v>
      </c>
      <c r="H363" s="4">
        <f t="shared" si="67"/>
        <v>-4.6910914536463073</v>
      </c>
      <c r="I363" s="3">
        <f t="shared" si="68"/>
        <v>-268.77974160382365</v>
      </c>
      <c r="J363" s="2">
        <f t="shared" si="69"/>
        <v>-2.1295916736378481E-2</v>
      </c>
      <c r="K363" s="2">
        <f t="shared" si="70"/>
        <v>0.99977321624974391</v>
      </c>
      <c r="L363" s="4">
        <f t="shared" si="71"/>
        <v>2.4456789473657647E-2</v>
      </c>
      <c r="M363" s="4">
        <f t="shared" si="72"/>
        <v>2.383130569550326</v>
      </c>
    </row>
    <row r="364" spans="1:13" x14ac:dyDescent="0.4">
      <c r="A364" s="1">
        <f t="shared" si="62"/>
        <v>18.100000000000122</v>
      </c>
      <c r="B364" s="1">
        <f t="shared" si="61"/>
        <v>0.2</v>
      </c>
      <c r="C364" s="1">
        <v>0.2</v>
      </c>
      <c r="D364" s="1">
        <f t="shared" si="63"/>
        <v>0</v>
      </c>
      <c r="E364" s="1">
        <f t="shared" si="64"/>
        <v>0</v>
      </c>
      <c r="F364" s="1">
        <f t="shared" si="65"/>
        <v>0.2</v>
      </c>
      <c r="G364" s="4">
        <f t="shared" si="66"/>
        <v>0</v>
      </c>
      <c r="H364" s="4">
        <f t="shared" si="67"/>
        <v>-4.6910914536463073</v>
      </c>
      <c r="I364" s="3">
        <f t="shared" si="68"/>
        <v>-268.77974160382365</v>
      </c>
      <c r="J364" s="2">
        <f t="shared" si="69"/>
        <v>-2.1295916736378481E-2</v>
      </c>
      <c r="K364" s="2">
        <f t="shared" si="70"/>
        <v>0.99977321624974391</v>
      </c>
      <c r="L364" s="4">
        <f t="shared" si="71"/>
        <v>2.4243830306293863E-2</v>
      </c>
      <c r="M364" s="4">
        <f t="shared" si="72"/>
        <v>2.3931283017128235</v>
      </c>
    </row>
    <row r="365" spans="1:13" x14ac:dyDescent="0.4">
      <c r="A365" s="1">
        <f t="shared" si="62"/>
        <v>18.150000000000123</v>
      </c>
      <c r="B365" s="1">
        <f t="shared" si="61"/>
        <v>0.2</v>
      </c>
      <c r="C365" s="1">
        <v>0.2</v>
      </c>
      <c r="D365" s="1">
        <f t="shared" si="63"/>
        <v>0</v>
      </c>
      <c r="E365" s="1">
        <f t="shared" si="64"/>
        <v>0</v>
      </c>
      <c r="F365" s="1">
        <f t="shared" si="65"/>
        <v>0.2</v>
      </c>
      <c r="G365" s="4">
        <f t="shared" si="66"/>
        <v>0</v>
      </c>
      <c r="H365" s="4">
        <f t="shared" si="67"/>
        <v>-4.6910914536463073</v>
      </c>
      <c r="I365" s="3">
        <f t="shared" si="68"/>
        <v>-268.77974160382365</v>
      </c>
      <c r="J365" s="2">
        <f t="shared" si="69"/>
        <v>-2.1295916736378481E-2</v>
      </c>
      <c r="K365" s="2">
        <f t="shared" si="70"/>
        <v>0.99977321624974391</v>
      </c>
      <c r="L365" s="4">
        <f t="shared" si="71"/>
        <v>2.4030871138930078E-2</v>
      </c>
      <c r="M365" s="4">
        <f t="shared" si="72"/>
        <v>2.4031260338753211</v>
      </c>
    </row>
    <row r="366" spans="1:13" x14ac:dyDescent="0.4">
      <c r="A366" s="1">
        <f t="shared" si="62"/>
        <v>18.200000000000124</v>
      </c>
      <c r="B366" s="1">
        <f t="shared" si="61"/>
        <v>0.2</v>
      </c>
      <c r="C366" s="1">
        <v>0.2</v>
      </c>
      <c r="D366" s="1">
        <f t="shared" si="63"/>
        <v>0</v>
      </c>
      <c r="E366" s="1">
        <f t="shared" si="64"/>
        <v>0</v>
      </c>
      <c r="F366" s="1">
        <f t="shared" si="65"/>
        <v>0.2</v>
      </c>
      <c r="G366" s="4">
        <f t="shared" si="66"/>
        <v>0</v>
      </c>
      <c r="H366" s="4">
        <f t="shared" si="67"/>
        <v>-4.6910914536463073</v>
      </c>
      <c r="I366" s="3">
        <f t="shared" si="68"/>
        <v>-268.77974160382365</v>
      </c>
      <c r="J366" s="2">
        <f t="shared" si="69"/>
        <v>-2.1295916736378481E-2</v>
      </c>
      <c r="K366" s="2">
        <f t="shared" si="70"/>
        <v>0.99977321624974391</v>
      </c>
      <c r="L366" s="4">
        <f t="shared" si="71"/>
        <v>2.3817911971566293E-2</v>
      </c>
      <c r="M366" s="4">
        <f t="shared" si="72"/>
        <v>2.4131237660378186</v>
      </c>
    </row>
    <row r="367" spans="1:13" x14ac:dyDescent="0.4">
      <c r="A367" s="1">
        <f t="shared" si="62"/>
        <v>18.250000000000124</v>
      </c>
      <c r="B367" s="1">
        <f t="shared" si="61"/>
        <v>0.2</v>
      </c>
      <c r="C367" s="1">
        <v>0.2</v>
      </c>
      <c r="D367" s="1">
        <f t="shared" si="63"/>
        <v>0</v>
      </c>
      <c r="E367" s="1">
        <f t="shared" si="64"/>
        <v>0</v>
      </c>
      <c r="F367" s="1">
        <f t="shared" si="65"/>
        <v>0.2</v>
      </c>
      <c r="G367" s="4">
        <f t="shared" si="66"/>
        <v>0</v>
      </c>
      <c r="H367" s="4">
        <f t="shared" si="67"/>
        <v>-4.6910914536463073</v>
      </c>
      <c r="I367" s="3">
        <f t="shared" si="68"/>
        <v>-268.77974160382365</v>
      </c>
      <c r="J367" s="2">
        <f t="shared" si="69"/>
        <v>-2.1295916736378481E-2</v>
      </c>
      <c r="K367" s="2">
        <f t="shared" si="70"/>
        <v>0.99977321624974391</v>
      </c>
      <c r="L367" s="4">
        <f t="shared" si="71"/>
        <v>2.3604952804202509E-2</v>
      </c>
      <c r="M367" s="4">
        <f t="shared" si="72"/>
        <v>2.4231214982003162</v>
      </c>
    </row>
    <row r="368" spans="1:13" x14ac:dyDescent="0.4">
      <c r="A368" s="1">
        <f t="shared" si="62"/>
        <v>18.300000000000125</v>
      </c>
      <c r="B368" s="1">
        <f t="shared" si="61"/>
        <v>0.2</v>
      </c>
      <c r="C368" s="1">
        <v>0.2</v>
      </c>
      <c r="D368" s="1">
        <f t="shared" si="63"/>
        <v>0</v>
      </c>
      <c r="E368" s="1">
        <f t="shared" si="64"/>
        <v>0</v>
      </c>
      <c r="F368" s="1">
        <f t="shared" si="65"/>
        <v>0.2</v>
      </c>
      <c r="G368" s="4">
        <f t="shared" si="66"/>
        <v>0</v>
      </c>
      <c r="H368" s="4">
        <f t="shared" si="67"/>
        <v>-4.6910914536463073</v>
      </c>
      <c r="I368" s="3">
        <f t="shared" si="68"/>
        <v>-268.77974160382365</v>
      </c>
      <c r="J368" s="2">
        <f t="shared" si="69"/>
        <v>-2.1295916736378481E-2</v>
      </c>
      <c r="K368" s="2">
        <f t="shared" si="70"/>
        <v>0.99977321624974391</v>
      </c>
      <c r="L368" s="4">
        <f t="shared" si="71"/>
        <v>2.3391993636838724E-2</v>
      </c>
      <c r="M368" s="4">
        <f t="shared" si="72"/>
        <v>2.4331192303628137</v>
      </c>
    </row>
    <row r="369" spans="1:13" x14ac:dyDescent="0.4">
      <c r="A369" s="1">
        <f t="shared" si="62"/>
        <v>18.350000000000126</v>
      </c>
      <c r="B369" s="1">
        <f t="shared" si="61"/>
        <v>0.2</v>
      </c>
      <c r="C369" s="1">
        <v>0.2</v>
      </c>
      <c r="D369" s="1">
        <f t="shared" si="63"/>
        <v>0</v>
      </c>
      <c r="E369" s="1">
        <f t="shared" si="64"/>
        <v>0</v>
      </c>
      <c r="F369" s="1">
        <f t="shared" si="65"/>
        <v>0.2</v>
      </c>
      <c r="G369" s="4">
        <f t="shared" si="66"/>
        <v>0</v>
      </c>
      <c r="H369" s="4">
        <f t="shared" si="67"/>
        <v>-4.6910914536463073</v>
      </c>
      <c r="I369" s="3">
        <f t="shared" si="68"/>
        <v>-268.77974160382365</v>
      </c>
      <c r="J369" s="2">
        <f t="shared" si="69"/>
        <v>-2.1295916736378481E-2</v>
      </c>
      <c r="K369" s="2">
        <f t="shared" si="70"/>
        <v>0.99977321624974391</v>
      </c>
      <c r="L369" s="4">
        <f t="shared" si="71"/>
        <v>2.3179034469474939E-2</v>
      </c>
      <c r="M369" s="4">
        <f t="shared" si="72"/>
        <v>2.4431169625253113</v>
      </c>
    </row>
    <row r="370" spans="1:13" x14ac:dyDescent="0.4">
      <c r="A370" s="1">
        <f t="shared" si="62"/>
        <v>18.400000000000126</v>
      </c>
      <c r="B370" s="1">
        <f t="shared" si="61"/>
        <v>0.2</v>
      </c>
      <c r="C370" s="1">
        <v>0.2</v>
      </c>
      <c r="D370" s="1">
        <f t="shared" si="63"/>
        <v>0</v>
      </c>
      <c r="E370" s="1">
        <f t="shared" si="64"/>
        <v>0</v>
      </c>
      <c r="F370" s="1">
        <f t="shared" si="65"/>
        <v>0.2</v>
      </c>
      <c r="G370" s="4">
        <f t="shared" si="66"/>
        <v>0</v>
      </c>
      <c r="H370" s="4">
        <f t="shared" si="67"/>
        <v>-4.6910914536463073</v>
      </c>
      <c r="I370" s="3">
        <f t="shared" si="68"/>
        <v>-268.77974160382365</v>
      </c>
      <c r="J370" s="2">
        <f t="shared" si="69"/>
        <v>-2.1295916736378481E-2</v>
      </c>
      <c r="K370" s="2">
        <f t="shared" si="70"/>
        <v>0.99977321624974391</v>
      </c>
      <c r="L370" s="4">
        <f t="shared" si="71"/>
        <v>2.2966075302111155E-2</v>
      </c>
      <c r="M370" s="4">
        <f t="shared" si="72"/>
        <v>2.4531146946878088</v>
      </c>
    </row>
    <row r="371" spans="1:13" x14ac:dyDescent="0.4">
      <c r="A371" s="1">
        <f t="shared" si="62"/>
        <v>18.450000000000127</v>
      </c>
      <c r="B371" s="1">
        <f t="shared" si="61"/>
        <v>0.2</v>
      </c>
      <c r="C371" s="1">
        <v>0.2</v>
      </c>
      <c r="D371" s="1">
        <f t="shared" si="63"/>
        <v>0</v>
      </c>
      <c r="E371" s="1">
        <f t="shared" si="64"/>
        <v>0</v>
      </c>
      <c r="F371" s="1">
        <f t="shared" si="65"/>
        <v>0.2</v>
      </c>
      <c r="G371" s="4">
        <f t="shared" si="66"/>
        <v>0</v>
      </c>
      <c r="H371" s="4">
        <f t="shared" si="67"/>
        <v>-4.6910914536463073</v>
      </c>
      <c r="I371" s="3">
        <f t="shared" si="68"/>
        <v>-268.77974160382365</v>
      </c>
      <c r="J371" s="2">
        <f t="shared" si="69"/>
        <v>-2.1295916736378481E-2</v>
      </c>
      <c r="K371" s="2">
        <f t="shared" si="70"/>
        <v>0.99977321624974391</v>
      </c>
      <c r="L371" s="4">
        <f t="shared" si="71"/>
        <v>2.275311613474737E-2</v>
      </c>
      <c r="M371" s="4">
        <f t="shared" si="72"/>
        <v>2.4631124268503064</v>
      </c>
    </row>
    <row r="372" spans="1:13" x14ac:dyDescent="0.4">
      <c r="A372" s="1">
        <f t="shared" si="62"/>
        <v>18.500000000000128</v>
      </c>
      <c r="B372" s="1">
        <f t="shared" si="61"/>
        <v>0.2</v>
      </c>
      <c r="C372" s="1">
        <v>0.2</v>
      </c>
      <c r="D372" s="1">
        <f t="shared" si="63"/>
        <v>0</v>
      </c>
      <c r="E372" s="1">
        <f t="shared" si="64"/>
        <v>0</v>
      </c>
      <c r="F372" s="1">
        <f t="shared" si="65"/>
        <v>0.2</v>
      </c>
      <c r="G372" s="4">
        <f t="shared" si="66"/>
        <v>0</v>
      </c>
      <c r="H372" s="4">
        <f t="shared" si="67"/>
        <v>-4.6910914536463073</v>
      </c>
      <c r="I372" s="3">
        <f t="shared" si="68"/>
        <v>-268.77974160382365</v>
      </c>
      <c r="J372" s="2">
        <f t="shared" si="69"/>
        <v>-2.1295916736378481E-2</v>
      </c>
      <c r="K372" s="2">
        <f t="shared" si="70"/>
        <v>0.99977321624974391</v>
      </c>
      <c r="L372" s="4">
        <f t="shared" si="71"/>
        <v>2.2540156967383585E-2</v>
      </c>
      <c r="M372" s="4">
        <f t="shared" si="72"/>
        <v>2.473110159012804</v>
      </c>
    </row>
    <row r="373" spans="1:13" x14ac:dyDescent="0.4">
      <c r="A373" s="1">
        <f t="shared" si="62"/>
        <v>18.550000000000129</v>
      </c>
      <c r="B373" s="1">
        <f t="shared" ref="B373:B402" si="73">B372</f>
        <v>0.2</v>
      </c>
      <c r="C373" s="1">
        <v>0.2</v>
      </c>
      <c r="D373" s="1">
        <f t="shared" si="63"/>
        <v>0</v>
      </c>
      <c r="E373" s="1">
        <f t="shared" si="64"/>
        <v>0</v>
      </c>
      <c r="F373" s="1">
        <f t="shared" si="65"/>
        <v>0.2</v>
      </c>
      <c r="G373" s="4">
        <f t="shared" si="66"/>
        <v>0</v>
      </c>
      <c r="H373" s="4">
        <f t="shared" si="67"/>
        <v>-4.6910914536463073</v>
      </c>
      <c r="I373" s="3">
        <f t="shared" si="68"/>
        <v>-268.77974160382365</v>
      </c>
      <c r="J373" s="2">
        <f t="shared" si="69"/>
        <v>-2.1295916736378481E-2</v>
      </c>
      <c r="K373" s="2">
        <f t="shared" si="70"/>
        <v>0.99977321624974391</v>
      </c>
      <c r="L373" s="4">
        <f t="shared" si="71"/>
        <v>2.23271978000198E-2</v>
      </c>
      <c r="M373" s="4">
        <f t="shared" si="72"/>
        <v>2.4831078911753015</v>
      </c>
    </row>
    <row r="374" spans="1:13" x14ac:dyDescent="0.4">
      <c r="A374" s="1">
        <f t="shared" si="62"/>
        <v>18.600000000000129</v>
      </c>
      <c r="B374" s="1">
        <f t="shared" si="73"/>
        <v>0.2</v>
      </c>
      <c r="C374" s="1">
        <v>0.2</v>
      </c>
      <c r="D374" s="1">
        <f t="shared" si="63"/>
        <v>0</v>
      </c>
      <c r="E374" s="1">
        <f t="shared" si="64"/>
        <v>0</v>
      </c>
      <c r="F374" s="1">
        <f t="shared" si="65"/>
        <v>0.2</v>
      </c>
      <c r="G374" s="4">
        <f t="shared" si="66"/>
        <v>0</v>
      </c>
      <c r="H374" s="4">
        <f t="shared" si="67"/>
        <v>-4.6910914536463073</v>
      </c>
      <c r="I374" s="3">
        <f t="shared" si="68"/>
        <v>-268.77974160382365</v>
      </c>
      <c r="J374" s="2">
        <f t="shared" si="69"/>
        <v>-2.1295916736378481E-2</v>
      </c>
      <c r="K374" s="2">
        <f t="shared" si="70"/>
        <v>0.99977321624974391</v>
      </c>
      <c r="L374" s="4">
        <f t="shared" si="71"/>
        <v>2.2114238632656016E-2</v>
      </c>
      <c r="M374" s="4">
        <f t="shared" si="72"/>
        <v>2.4931056233377991</v>
      </c>
    </row>
    <row r="375" spans="1:13" x14ac:dyDescent="0.4">
      <c r="A375" s="1">
        <f t="shared" si="62"/>
        <v>18.65000000000013</v>
      </c>
      <c r="B375" s="1">
        <f t="shared" si="73"/>
        <v>0.2</v>
      </c>
      <c r="C375" s="1">
        <v>0.2</v>
      </c>
      <c r="D375" s="1">
        <f t="shared" si="63"/>
        <v>0</v>
      </c>
      <c r="E375" s="1">
        <f t="shared" si="64"/>
        <v>0</v>
      </c>
      <c r="F375" s="1">
        <f t="shared" si="65"/>
        <v>0.2</v>
      </c>
      <c r="G375" s="4">
        <f t="shared" si="66"/>
        <v>0</v>
      </c>
      <c r="H375" s="4">
        <f t="shared" si="67"/>
        <v>-4.6910914536463073</v>
      </c>
      <c r="I375" s="3">
        <f t="shared" si="68"/>
        <v>-268.77974160382365</v>
      </c>
      <c r="J375" s="2">
        <f t="shared" si="69"/>
        <v>-2.1295916736378481E-2</v>
      </c>
      <c r="K375" s="2">
        <f t="shared" si="70"/>
        <v>0.99977321624974391</v>
      </c>
      <c r="L375" s="4">
        <f t="shared" si="71"/>
        <v>2.1901279465292231E-2</v>
      </c>
      <c r="M375" s="4">
        <f t="shared" si="72"/>
        <v>2.5031033555002966</v>
      </c>
    </row>
    <row r="376" spans="1:13" x14ac:dyDescent="0.4">
      <c r="A376" s="1">
        <f t="shared" si="62"/>
        <v>18.700000000000131</v>
      </c>
      <c r="B376" s="1">
        <f t="shared" si="73"/>
        <v>0.2</v>
      </c>
      <c r="C376" s="1">
        <v>0.2</v>
      </c>
      <c r="D376" s="1">
        <f t="shared" si="63"/>
        <v>0</v>
      </c>
      <c r="E376" s="1">
        <f t="shared" si="64"/>
        <v>0</v>
      </c>
      <c r="F376" s="1">
        <f t="shared" si="65"/>
        <v>0.2</v>
      </c>
      <c r="G376" s="4">
        <f t="shared" si="66"/>
        <v>0</v>
      </c>
      <c r="H376" s="4">
        <f t="shared" si="67"/>
        <v>-4.6910914536463073</v>
      </c>
      <c r="I376" s="3">
        <f t="shared" si="68"/>
        <v>-268.77974160382365</v>
      </c>
      <c r="J376" s="2">
        <f t="shared" si="69"/>
        <v>-2.1295916736378481E-2</v>
      </c>
      <c r="K376" s="2">
        <f t="shared" si="70"/>
        <v>0.99977321624974391</v>
      </c>
      <c r="L376" s="4">
        <f t="shared" si="71"/>
        <v>2.1688320297928446E-2</v>
      </c>
      <c r="M376" s="4">
        <f t="shared" si="72"/>
        <v>2.5131010876627942</v>
      </c>
    </row>
    <row r="377" spans="1:13" x14ac:dyDescent="0.4">
      <c r="A377" s="1">
        <f t="shared" si="62"/>
        <v>18.750000000000131</v>
      </c>
      <c r="B377" s="1">
        <f t="shared" si="73"/>
        <v>0.2</v>
      </c>
      <c r="C377" s="1">
        <v>0.2</v>
      </c>
      <c r="D377" s="1">
        <f t="shared" si="63"/>
        <v>0</v>
      </c>
      <c r="E377" s="1">
        <f t="shared" si="64"/>
        <v>0</v>
      </c>
      <c r="F377" s="1">
        <f t="shared" si="65"/>
        <v>0.2</v>
      </c>
      <c r="G377" s="4">
        <f t="shared" si="66"/>
        <v>0</v>
      </c>
      <c r="H377" s="4">
        <f t="shared" si="67"/>
        <v>-4.6910914536463073</v>
      </c>
      <c r="I377" s="3">
        <f t="shared" si="68"/>
        <v>-268.77974160382365</v>
      </c>
      <c r="J377" s="2">
        <f t="shared" si="69"/>
        <v>-2.1295916736378481E-2</v>
      </c>
      <c r="K377" s="2">
        <f t="shared" si="70"/>
        <v>0.99977321624974391</v>
      </c>
      <c r="L377" s="4">
        <f t="shared" si="71"/>
        <v>2.1475361130564662E-2</v>
      </c>
      <c r="M377" s="4">
        <f t="shared" si="72"/>
        <v>2.5230988198252917</v>
      </c>
    </row>
    <row r="378" spans="1:13" x14ac:dyDescent="0.4">
      <c r="A378" s="1">
        <f t="shared" si="62"/>
        <v>18.800000000000132</v>
      </c>
      <c r="B378" s="1">
        <f t="shared" si="73"/>
        <v>0.2</v>
      </c>
      <c r="C378" s="1">
        <v>0.2</v>
      </c>
      <c r="D378" s="1">
        <f t="shared" si="63"/>
        <v>0</v>
      </c>
      <c r="E378" s="1">
        <f t="shared" si="64"/>
        <v>0</v>
      </c>
      <c r="F378" s="1">
        <f t="shared" si="65"/>
        <v>0.2</v>
      </c>
      <c r="G378" s="4">
        <f t="shared" si="66"/>
        <v>0</v>
      </c>
      <c r="H378" s="4">
        <f t="shared" si="67"/>
        <v>-4.6910914536463073</v>
      </c>
      <c r="I378" s="3">
        <f t="shared" si="68"/>
        <v>-268.77974160382365</v>
      </c>
      <c r="J378" s="2">
        <f t="shared" si="69"/>
        <v>-2.1295916736378481E-2</v>
      </c>
      <c r="K378" s="2">
        <f t="shared" si="70"/>
        <v>0.99977321624974391</v>
      </c>
      <c r="L378" s="4">
        <f t="shared" si="71"/>
        <v>2.1262401963200877E-2</v>
      </c>
      <c r="M378" s="4">
        <f t="shared" si="72"/>
        <v>2.5330965519877893</v>
      </c>
    </row>
    <row r="379" spans="1:13" x14ac:dyDescent="0.4">
      <c r="A379" s="1">
        <f t="shared" si="62"/>
        <v>18.850000000000133</v>
      </c>
      <c r="B379" s="1">
        <f t="shared" si="73"/>
        <v>0.2</v>
      </c>
      <c r="C379" s="1">
        <v>0.2</v>
      </c>
      <c r="D379" s="1">
        <f t="shared" si="63"/>
        <v>0</v>
      </c>
      <c r="E379" s="1">
        <f t="shared" si="64"/>
        <v>0</v>
      </c>
      <c r="F379" s="1">
        <f t="shared" si="65"/>
        <v>0.2</v>
      </c>
      <c r="G379" s="4">
        <f t="shared" si="66"/>
        <v>0</v>
      </c>
      <c r="H379" s="4">
        <f t="shared" si="67"/>
        <v>-4.6910914536463073</v>
      </c>
      <c r="I379" s="3">
        <f t="shared" si="68"/>
        <v>-268.77974160382365</v>
      </c>
      <c r="J379" s="2">
        <f t="shared" si="69"/>
        <v>-2.1295916736378481E-2</v>
      </c>
      <c r="K379" s="2">
        <f t="shared" si="70"/>
        <v>0.99977321624974391</v>
      </c>
      <c r="L379" s="4">
        <f t="shared" si="71"/>
        <v>2.1049442795837092E-2</v>
      </c>
      <c r="M379" s="4">
        <f t="shared" si="72"/>
        <v>2.5430942841502868</v>
      </c>
    </row>
    <row r="380" spans="1:13" x14ac:dyDescent="0.4">
      <c r="A380" s="1">
        <f t="shared" si="62"/>
        <v>18.900000000000134</v>
      </c>
      <c r="B380" s="1">
        <f t="shared" si="73"/>
        <v>0.2</v>
      </c>
      <c r="C380" s="1">
        <v>0.2</v>
      </c>
      <c r="D380" s="1">
        <f t="shared" si="63"/>
        <v>0</v>
      </c>
      <c r="E380" s="1">
        <f t="shared" si="64"/>
        <v>0</v>
      </c>
      <c r="F380" s="1">
        <f t="shared" si="65"/>
        <v>0.2</v>
      </c>
      <c r="G380" s="4">
        <f t="shared" si="66"/>
        <v>0</v>
      </c>
      <c r="H380" s="4">
        <f t="shared" si="67"/>
        <v>-4.6910914536463073</v>
      </c>
      <c r="I380" s="3">
        <f t="shared" si="68"/>
        <v>-268.77974160382365</v>
      </c>
      <c r="J380" s="2">
        <f t="shared" si="69"/>
        <v>-2.1295916736378481E-2</v>
      </c>
      <c r="K380" s="2">
        <f t="shared" si="70"/>
        <v>0.99977321624974391</v>
      </c>
      <c r="L380" s="4">
        <f t="shared" si="71"/>
        <v>2.0836483628473308E-2</v>
      </c>
      <c r="M380" s="4">
        <f t="shared" si="72"/>
        <v>2.5530920163127844</v>
      </c>
    </row>
    <row r="381" spans="1:13" x14ac:dyDescent="0.4">
      <c r="A381" s="1">
        <f t="shared" si="62"/>
        <v>18.950000000000134</v>
      </c>
      <c r="B381" s="1">
        <f t="shared" si="73"/>
        <v>0.2</v>
      </c>
      <c r="C381" s="1">
        <v>0.2</v>
      </c>
      <c r="D381" s="1">
        <f t="shared" si="63"/>
        <v>0</v>
      </c>
      <c r="E381" s="1">
        <f t="shared" si="64"/>
        <v>0</v>
      </c>
      <c r="F381" s="1">
        <f t="shared" si="65"/>
        <v>0.2</v>
      </c>
      <c r="G381" s="4">
        <f t="shared" si="66"/>
        <v>0</v>
      </c>
      <c r="H381" s="4">
        <f t="shared" si="67"/>
        <v>-4.6910914536463073</v>
      </c>
      <c r="I381" s="3">
        <f t="shared" si="68"/>
        <v>-268.77974160382365</v>
      </c>
      <c r="J381" s="2">
        <f t="shared" si="69"/>
        <v>-2.1295916736378481E-2</v>
      </c>
      <c r="K381" s="2">
        <f t="shared" si="70"/>
        <v>0.99977321624974391</v>
      </c>
      <c r="L381" s="4">
        <f t="shared" si="71"/>
        <v>2.0623524461109523E-2</v>
      </c>
      <c r="M381" s="4">
        <f t="shared" si="72"/>
        <v>2.5630897484752819</v>
      </c>
    </row>
    <row r="382" spans="1:13" x14ac:dyDescent="0.4">
      <c r="A382" s="1">
        <f t="shared" si="62"/>
        <v>19.000000000000135</v>
      </c>
      <c r="B382" s="1">
        <f t="shared" si="73"/>
        <v>0.2</v>
      </c>
      <c r="C382" s="1">
        <v>0.2</v>
      </c>
      <c r="D382" s="1">
        <f t="shared" si="63"/>
        <v>0</v>
      </c>
      <c r="E382" s="1">
        <f t="shared" si="64"/>
        <v>0</v>
      </c>
      <c r="F382" s="1">
        <f t="shared" si="65"/>
        <v>0.2</v>
      </c>
      <c r="G382" s="4">
        <f t="shared" si="66"/>
        <v>0</v>
      </c>
      <c r="H382" s="4">
        <f t="shared" si="67"/>
        <v>-4.6910914536463073</v>
      </c>
      <c r="I382" s="3">
        <f t="shared" si="68"/>
        <v>-268.77974160382365</v>
      </c>
      <c r="J382" s="2">
        <f t="shared" si="69"/>
        <v>-2.1295916736378481E-2</v>
      </c>
      <c r="K382" s="2">
        <f t="shared" si="70"/>
        <v>0.99977321624974391</v>
      </c>
      <c r="L382" s="4">
        <f t="shared" si="71"/>
        <v>2.0410565293745738E-2</v>
      </c>
      <c r="M382" s="4">
        <f t="shared" si="72"/>
        <v>2.5730874806377795</v>
      </c>
    </row>
    <row r="383" spans="1:13" x14ac:dyDescent="0.4">
      <c r="A383" s="1">
        <f t="shared" si="62"/>
        <v>19.050000000000136</v>
      </c>
      <c r="B383" s="1">
        <f t="shared" si="73"/>
        <v>0.2</v>
      </c>
      <c r="C383" s="1">
        <v>0.2</v>
      </c>
      <c r="D383" s="1">
        <f t="shared" si="63"/>
        <v>0</v>
      </c>
      <c r="E383" s="1">
        <f t="shared" si="64"/>
        <v>0</v>
      </c>
      <c r="F383" s="1">
        <f t="shared" si="65"/>
        <v>0.2</v>
      </c>
      <c r="G383" s="4">
        <f t="shared" si="66"/>
        <v>0</v>
      </c>
      <c r="H383" s="4">
        <f t="shared" si="67"/>
        <v>-4.6910914536463073</v>
      </c>
      <c r="I383" s="3">
        <f t="shared" si="68"/>
        <v>-268.77974160382365</v>
      </c>
      <c r="J383" s="2">
        <f t="shared" si="69"/>
        <v>-2.1295916736378481E-2</v>
      </c>
      <c r="K383" s="2">
        <f t="shared" si="70"/>
        <v>0.99977321624974391</v>
      </c>
      <c r="L383" s="4">
        <f t="shared" si="71"/>
        <v>2.0197606126381953E-2</v>
      </c>
      <c r="M383" s="4">
        <f t="shared" si="72"/>
        <v>2.583085212800277</v>
      </c>
    </row>
    <row r="384" spans="1:13" x14ac:dyDescent="0.4">
      <c r="A384" s="1">
        <f t="shared" si="62"/>
        <v>19.100000000000136</v>
      </c>
      <c r="B384" s="1">
        <f t="shared" si="73"/>
        <v>0.2</v>
      </c>
      <c r="C384" s="1">
        <v>0.2</v>
      </c>
      <c r="D384" s="1">
        <f t="shared" si="63"/>
        <v>0</v>
      </c>
      <c r="E384" s="1">
        <f t="shared" si="64"/>
        <v>0</v>
      </c>
      <c r="F384" s="1">
        <f t="shared" si="65"/>
        <v>0.2</v>
      </c>
      <c r="G384" s="4">
        <f t="shared" si="66"/>
        <v>0</v>
      </c>
      <c r="H384" s="4">
        <f t="shared" si="67"/>
        <v>-4.6910914536463073</v>
      </c>
      <c r="I384" s="3">
        <f t="shared" si="68"/>
        <v>-268.77974160382365</v>
      </c>
      <c r="J384" s="2">
        <f t="shared" si="69"/>
        <v>-2.1295916736378481E-2</v>
      </c>
      <c r="K384" s="2">
        <f t="shared" si="70"/>
        <v>0.99977321624974391</v>
      </c>
      <c r="L384" s="4">
        <f t="shared" si="71"/>
        <v>1.9984646959018169E-2</v>
      </c>
      <c r="M384" s="4">
        <f t="shared" si="72"/>
        <v>2.5930829449627746</v>
      </c>
    </row>
    <row r="385" spans="1:13" x14ac:dyDescent="0.4">
      <c r="A385" s="1">
        <f t="shared" si="62"/>
        <v>19.150000000000137</v>
      </c>
      <c r="B385" s="1">
        <f t="shared" si="73"/>
        <v>0.2</v>
      </c>
      <c r="C385" s="1">
        <v>0.2</v>
      </c>
      <c r="D385" s="1">
        <f t="shared" si="63"/>
        <v>0</v>
      </c>
      <c r="E385" s="1">
        <f t="shared" si="64"/>
        <v>0</v>
      </c>
      <c r="F385" s="1">
        <f t="shared" si="65"/>
        <v>0.2</v>
      </c>
      <c r="G385" s="4">
        <f t="shared" si="66"/>
        <v>0</v>
      </c>
      <c r="H385" s="4">
        <f t="shared" si="67"/>
        <v>-4.6910914536463073</v>
      </c>
      <c r="I385" s="3">
        <f t="shared" si="68"/>
        <v>-268.77974160382365</v>
      </c>
      <c r="J385" s="2">
        <f t="shared" si="69"/>
        <v>-2.1295916736378481E-2</v>
      </c>
      <c r="K385" s="2">
        <f t="shared" si="70"/>
        <v>0.99977321624974391</v>
      </c>
      <c r="L385" s="4">
        <f t="shared" si="71"/>
        <v>1.9771687791654384E-2</v>
      </c>
      <c r="M385" s="4">
        <f t="shared" si="72"/>
        <v>2.6030806771252721</v>
      </c>
    </row>
    <row r="386" spans="1:13" x14ac:dyDescent="0.4">
      <c r="A386" s="1">
        <f t="shared" si="62"/>
        <v>19.200000000000138</v>
      </c>
      <c r="B386" s="1">
        <f t="shared" si="73"/>
        <v>0.2</v>
      </c>
      <c r="C386" s="1">
        <v>0.2</v>
      </c>
      <c r="D386" s="1">
        <f t="shared" si="63"/>
        <v>0</v>
      </c>
      <c r="E386" s="1">
        <f t="shared" si="64"/>
        <v>0</v>
      </c>
      <c r="F386" s="1">
        <f t="shared" si="65"/>
        <v>0.2</v>
      </c>
      <c r="G386" s="4">
        <f t="shared" si="66"/>
        <v>0</v>
      </c>
      <c r="H386" s="4">
        <f t="shared" si="67"/>
        <v>-4.6910914536463073</v>
      </c>
      <c r="I386" s="3">
        <f t="shared" si="68"/>
        <v>-268.77974160382365</v>
      </c>
      <c r="J386" s="2">
        <f t="shared" si="69"/>
        <v>-2.1295916736378481E-2</v>
      </c>
      <c r="K386" s="2">
        <f t="shared" si="70"/>
        <v>0.99977321624974391</v>
      </c>
      <c r="L386" s="4">
        <f t="shared" si="71"/>
        <v>1.9558728624290599E-2</v>
      </c>
      <c r="M386" s="4">
        <f t="shared" si="72"/>
        <v>2.6130784092877697</v>
      </c>
    </row>
    <row r="387" spans="1:13" x14ac:dyDescent="0.4">
      <c r="A387" s="1">
        <f t="shared" si="62"/>
        <v>19.250000000000139</v>
      </c>
      <c r="B387" s="1">
        <f t="shared" si="73"/>
        <v>0.2</v>
      </c>
      <c r="C387" s="1">
        <v>0.2</v>
      </c>
      <c r="D387" s="1">
        <f t="shared" si="63"/>
        <v>0</v>
      </c>
      <c r="E387" s="1">
        <f t="shared" si="64"/>
        <v>0</v>
      </c>
      <c r="F387" s="1">
        <f t="shared" si="65"/>
        <v>0.2</v>
      </c>
      <c r="G387" s="4">
        <f t="shared" si="66"/>
        <v>0</v>
      </c>
      <c r="H387" s="4">
        <f t="shared" si="67"/>
        <v>-4.6910914536463073</v>
      </c>
      <c r="I387" s="3">
        <f t="shared" si="68"/>
        <v>-268.77974160382365</v>
      </c>
      <c r="J387" s="2">
        <f t="shared" si="69"/>
        <v>-2.1295916736378481E-2</v>
      </c>
      <c r="K387" s="2">
        <f t="shared" si="70"/>
        <v>0.99977321624974391</v>
      </c>
      <c r="L387" s="4">
        <f t="shared" si="71"/>
        <v>1.9345769456926815E-2</v>
      </c>
      <c r="M387" s="4">
        <f t="shared" si="72"/>
        <v>2.6230761414502672</v>
      </c>
    </row>
    <row r="388" spans="1:13" x14ac:dyDescent="0.4">
      <c r="A388" s="1">
        <f t="shared" ref="A388:A402" si="74">A387+$P$3</f>
        <v>19.300000000000139</v>
      </c>
      <c r="B388" s="1">
        <f t="shared" si="73"/>
        <v>0.2</v>
      </c>
      <c r="C388" s="1">
        <v>0.2</v>
      </c>
      <c r="D388" s="1">
        <f t="shared" ref="D388:D402" si="75">(B388-B387)/$P$3</f>
        <v>0</v>
      </c>
      <c r="E388" s="1">
        <f t="shared" ref="E388:E402" si="76">(C388-C387)/$P$3</f>
        <v>0</v>
      </c>
      <c r="F388" s="1">
        <f t="shared" ref="F388:F402" si="77">(B388+C388)/2</f>
        <v>0.2</v>
      </c>
      <c r="G388" s="4">
        <f t="shared" ref="G388:G402" si="78">(B388-C388)/R$3</f>
        <v>0</v>
      </c>
      <c r="H388" s="4">
        <f t="shared" ref="H388:H402" si="79">H387+G388*P$3</f>
        <v>-4.6910914536463073</v>
      </c>
      <c r="I388" s="3">
        <f t="shared" ref="I388:I402" si="80">H388*180/PI()</f>
        <v>-268.77974160382365</v>
      </c>
      <c r="J388" s="2">
        <f t="shared" ref="J388:J402" si="81">COS((H388+H387)/2)</f>
        <v>-2.1295916736378481E-2</v>
      </c>
      <c r="K388" s="2">
        <f t="shared" ref="K388:K402" si="82">SIN((H388+H387)/2)</f>
        <v>0.99977321624974391</v>
      </c>
      <c r="L388" s="4">
        <f t="shared" ref="L388:L402" si="83">L387+F388*P$3*J388</f>
        <v>1.913281028956303E-2</v>
      </c>
      <c r="M388" s="4">
        <f t="shared" ref="M388:M402" si="84">M387+F388*P$3*K388</f>
        <v>2.6330738736127648</v>
      </c>
    </row>
    <row r="389" spans="1:13" x14ac:dyDescent="0.4">
      <c r="A389" s="1">
        <f t="shared" si="74"/>
        <v>19.35000000000014</v>
      </c>
      <c r="B389" s="1">
        <f t="shared" si="73"/>
        <v>0.2</v>
      </c>
      <c r="C389" s="1">
        <v>0.2</v>
      </c>
      <c r="D389" s="1">
        <f t="shared" si="75"/>
        <v>0</v>
      </c>
      <c r="E389" s="1">
        <f t="shared" si="76"/>
        <v>0</v>
      </c>
      <c r="F389" s="1">
        <f t="shared" si="77"/>
        <v>0.2</v>
      </c>
      <c r="G389" s="4">
        <f t="shared" si="78"/>
        <v>0</v>
      </c>
      <c r="H389" s="4">
        <f t="shared" si="79"/>
        <v>-4.6910914536463073</v>
      </c>
      <c r="I389" s="3">
        <f t="shared" si="80"/>
        <v>-268.77974160382365</v>
      </c>
      <c r="J389" s="2">
        <f t="shared" si="81"/>
        <v>-2.1295916736378481E-2</v>
      </c>
      <c r="K389" s="2">
        <f t="shared" si="82"/>
        <v>0.99977321624974391</v>
      </c>
      <c r="L389" s="4">
        <f t="shared" si="83"/>
        <v>1.8919851122199245E-2</v>
      </c>
      <c r="M389" s="4">
        <f t="shared" si="84"/>
        <v>2.6430716057752623</v>
      </c>
    </row>
    <row r="390" spans="1:13" x14ac:dyDescent="0.4">
      <c r="A390" s="1">
        <f t="shared" si="74"/>
        <v>19.400000000000141</v>
      </c>
      <c r="B390" s="1">
        <f t="shared" si="73"/>
        <v>0.2</v>
      </c>
      <c r="C390" s="1">
        <v>0.2</v>
      </c>
      <c r="D390" s="1">
        <f t="shared" si="75"/>
        <v>0</v>
      </c>
      <c r="E390" s="1">
        <f t="shared" si="76"/>
        <v>0</v>
      </c>
      <c r="F390" s="1">
        <f t="shared" si="77"/>
        <v>0.2</v>
      </c>
      <c r="G390" s="4">
        <f t="shared" si="78"/>
        <v>0</v>
      </c>
      <c r="H390" s="4">
        <f t="shared" si="79"/>
        <v>-4.6910914536463073</v>
      </c>
      <c r="I390" s="3">
        <f t="shared" si="80"/>
        <v>-268.77974160382365</v>
      </c>
      <c r="J390" s="2">
        <f t="shared" si="81"/>
        <v>-2.1295916736378481E-2</v>
      </c>
      <c r="K390" s="2">
        <f t="shared" si="82"/>
        <v>0.99977321624974391</v>
      </c>
      <c r="L390" s="4">
        <f t="shared" si="83"/>
        <v>1.870689195483546E-2</v>
      </c>
      <c r="M390" s="4">
        <f t="shared" si="84"/>
        <v>2.6530693379377599</v>
      </c>
    </row>
    <row r="391" spans="1:13" x14ac:dyDescent="0.4">
      <c r="A391" s="1">
        <f t="shared" si="74"/>
        <v>19.450000000000141</v>
      </c>
      <c r="B391" s="1">
        <f t="shared" si="73"/>
        <v>0.2</v>
      </c>
      <c r="C391" s="1">
        <v>0.2</v>
      </c>
      <c r="D391" s="1">
        <f t="shared" si="75"/>
        <v>0</v>
      </c>
      <c r="E391" s="1">
        <f t="shared" si="76"/>
        <v>0</v>
      </c>
      <c r="F391" s="1">
        <f t="shared" si="77"/>
        <v>0.2</v>
      </c>
      <c r="G391" s="4">
        <f t="shared" si="78"/>
        <v>0</v>
      </c>
      <c r="H391" s="4">
        <f t="shared" si="79"/>
        <v>-4.6910914536463073</v>
      </c>
      <c r="I391" s="3">
        <f t="shared" si="80"/>
        <v>-268.77974160382365</v>
      </c>
      <c r="J391" s="2">
        <f t="shared" si="81"/>
        <v>-2.1295916736378481E-2</v>
      </c>
      <c r="K391" s="2">
        <f t="shared" si="82"/>
        <v>0.99977321624974391</v>
      </c>
      <c r="L391" s="4">
        <f t="shared" si="83"/>
        <v>1.8493932787471676E-2</v>
      </c>
      <c r="M391" s="4">
        <f t="shared" si="84"/>
        <v>2.6630670701002574</v>
      </c>
    </row>
    <row r="392" spans="1:13" x14ac:dyDescent="0.4">
      <c r="A392" s="1">
        <f t="shared" si="74"/>
        <v>19.500000000000142</v>
      </c>
      <c r="B392" s="1">
        <f t="shared" si="73"/>
        <v>0.2</v>
      </c>
      <c r="C392" s="1">
        <v>0.2</v>
      </c>
      <c r="D392" s="1">
        <f t="shared" si="75"/>
        <v>0</v>
      </c>
      <c r="E392" s="1">
        <f t="shared" si="76"/>
        <v>0</v>
      </c>
      <c r="F392" s="1">
        <f t="shared" si="77"/>
        <v>0.2</v>
      </c>
      <c r="G392" s="4">
        <f t="shared" si="78"/>
        <v>0</v>
      </c>
      <c r="H392" s="4">
        <f t="shared" si="79"/>
        <v>-4.6910914536463073</v>
      </c>
      <c r="I392" s="3">
        <f t="shared" si="80"/>
        <v>-268.77974160382365</v>
      </c>
      <c r="J392" s="2">
        <f t="shared" si="81"/>
        <v>-2.1295916736378481E-2</v>
      </c>
      <c r="K392" s="2">
        <f t="shared" si="82"/>
        <v>0.99977321624974391</v>
      </c>
      <c r="L392" s="4">
        <f t="shared" si="83"/>
        <v>1.8280973620107891E-2</v>
      </c>
      <c r="M392" s="4">
        <f t="shared" si="84"/>
        <v>2.673064802262755</v>
      </c>
    </row>
    <row r="393" spans="1:13" x14ac:dyDescent="0.4">
      <c r="A393" s="1">
        <f t="shared" si="74"/>
        <v>19.550000000000143</v>
      </c>
      <c r="B393" s="1">
        <f t="shared" si="73"/>
        <v>0.2</v>
      </c>
      <c r="C393" s="1">
        <v>0.2</v>
      </c>
      <c r="D393" s="1">
        <f t="shared" si="75"/>
        <v>0</v>
      </c>
      <c r="E393" s="1">
        <f t="shared" si="76"/>
        <v>0</v>
      </c>
      <c r="F393" s="1">
        <f t="shared" si="77"/>
        <v>0.2</v>
      </c>
      <c r="G393" s="4">
        <f t="shared" si="78"/>
        <v>0</v>
      </c>
      <c r="H393" s="4">
        <f t="shared" si="79"/>
        <v>-4.6910914536463073</v>
      </c>
      <c r="I393" s="3">
        <f t="shared" si="80"/>
        <v>-268.77974160382365</v>
      </c>
      <c r="J393" s="2">
        <f t="shared" si="81"/>
        <v>-2.1295916736378481E-2</v>
      </c>
      <c r="K393" s="2">
        <f t="shared" si="82"/>
        <v>0.99977321624974391</v>
      </c>
      <c r="L393" s="4">
        <f t="shared" si="83"/>
        <v>1.8068014452744106E-2</v>
      </c>
      <c r="M393" s="4">
        <f t="shared" si="84"/>
        <v>2.6830625344252526</v>
      </c>
    </row>
    <row r="394" spans="1:13" x14ac:dyDescent="0.4">
      <c r="A394" s="1">
        <f t="shared" si="74"/>
        <v>19.600000000000144</v>
      </c>
      <c r="B394" s="1">
        <f t="shared" si="73"/>
        <v>0.2</v>
      </c>
      <c r="C394" s="1">
        <v>0.2</v>
      </c>
      <c r="D394" s="1">
        <f t="shared" si="75"/>
        <v>0</v>
      </c>
      <c r="E394" s="1">
        <f t="shared" si="76"/>
        <v>0</v>
      </c>
      <c r="F394" s="1">
        <f t="shared" si="77"/>
        <v>0.2</v>
      </c>
      <c r="G394" s="4">
        <f t="shared" si="78"/>
        <v>0</v>
      </c>
      <c r="H394" s="4">
        <f t="shared" si="79"/>
        <v>-4.6910914536463073</v>
      </c>
      <c r="I394" s="3">
        <f t="shared" si="80"/>
        <v>-268.77974160382365</v>
      </c>
      <c r="J394" s="2">
        <f t="shared" si="81"/>
        <v>-2.1295916736378481E-2</v>
      </c>
      <c r="K394" s="2">
        <f t="shared" si="82"/>
        <v>0.99977321624974391</v>
      </c>
      <c r="L394" s="4">
        <f t="shared" si="83"/>
        <v>1.7855055285380322E-2</v>
      </c>
      <c r="M394" s="4">
        <f t="shared" si="84"/>
        <v>2.6930602665877501</v>
      </c>
    </row>
    <row r="395" spans="1:13" x14ac:dyDescent="0.4">
      <c r="A395" s="1">
        <f t="shared" si="74"/>
        <v>19.650000000000144</v>
      </c>
      <c r="B395" s="1">
        <f t="shared" si="73"/>
        <v>0.2</v>
      </c>
      <c r="C395" s="1">
        <v>0.2</v>
      </c>
      <c r="D395" s="1">
        <f t="shared" si="75"/>
        <v>0</v>
      </c>
      <c r="E395" s="1">
        <f t="shared" si="76"/>
        <v>0</v>
      </c>
      <c r="F395" s="1">
        <f t="shared" si="77"/>
        <v>0.2</v>
      </c>
      <c r="G395" s="4">
        <f t="shared" si="78"/>
        <v>0</v>
      </c>
      <c r="H395" s="4">
        <f t="shared" si="79"/>
        <v>-4.6910914536463073</v>
      </c>
      <c r="I395" s="3">
        <f t="shared" si="80"/>
        <v>-268.77974160382365</v>
      </c>
      <c r="J395" s="2">
        <f t="shared" si="81"/>
        <v>-2.1295916736378481E-2</v>
      </c>
      <c r="K395" s="2">
        <f t="shared" si="82"/>
        <v>0.99977321624974391</v>
      </c>
      <c r="L395" s="4">
        <f t="shared" si="83"/>
        <v>1.7642096118016537E-2</v>
      </c>
      <c r="M395" s="4">
        <f t="shared" si="84"/>
        <v>2.7030579987502477</v>
      </c>
    </row>
    <row r="396" spans="1:13" x14ac:dyDescent="0.4">
      <c r="A396" s="1">
        <f t="shared" si="74"/>
        <v>19.700000000000145</v>
      </c>
      <c r="B396" s="1">
        <f t="shared" si="73"/>
        <v>0.2</v>
      </c>
      <c r="C396" s="1">
        <v>0.2</v>
      </c>
      <c r="D396" s="1">
        <f t="shared" si="75"/>
        <v>0</v>
      </c>
      <c r="E396" s="1">
        <f t="shared" si="76"/>
        <v>0</v>
      </c>
      <c r="F396" s="1">
        <f t="shared" si="77"/>
        <v>0.2</v>
      </c>
      <c r="G396" s="4">
        <f t="shared" si="78"/>
        <v>0</v>
      </c>
      <c r="H396" s="4">
        <f t="shared" si="79"/>
        <v>-4.6910914536463073</v>
      </c>
      <c r="I396" s="3">
        <f t="shared" si="80"/>
        <v>-268.77974160382365</v>
      </c>
      <c r="J396" s="2">
        <f t="shared" si="81"/>
        <v>-2.1295916736378481E-2</v>
      </c>
      <c r="K396" s="2">
        <f t="shared" si="82"/>
        <v>0.99977321624974391</v>
      </c>
      <c r="L396" s="4">
        <f t="shared" si="83"/>
        <v>1.7429136950652752E-2</v>
      </c>
      <c r="M396" s="4">
        <f t="shared" si="84"/>
        <v>2.7130557309127452</v>
      </c>
    </row>
    <row r="397" spans="1:13" x14ac:dyDescent="0.4">
      <c r="A397" s="1">
        <f t="shared" si="74"/>
        <v>19.750000000000146</v>
      </c>
      <c r="B397" s="1">
        <f t="shared" si="73"/>
        <v>0.2</v>
      </c>
      <c r="C397" s="1">
        <v>0.2</v>
      </c>
      <c r="D397" s="1">
        <f t="shared" si="75"/>
        <v>0</v>
      </c>
      <c r="E397" s="1">
        <f t="shared" si="76"/>
        <v>0</v>
      </c>
      <c r="F397" s="1">
        <f t="shared" si="77"/>
        <v>0.2</v>
      </c>
      <c r="G397" s="4">
        <f t="shared" si="78"/>
        <v>0</v>
      </c>
      <c r="H397" s="4">
        <f t="shared" si="79"/>
        <v>-4.6910914536463073</v>
      </c>
      <c r="I397" s="3">
        <f t="shared" si="80"/>
        <v>-268.77974160382365</v>
      </c>
      <c r="J397" s="2">
        <f t="shared" si="81"/>
        <v>-2.1295916736378481E-2</v>
      </c>
      <c r="K397" s="2">
        <f t="shared" si="82"/>
        <v>0.99977321624974391</v>
      </c>
      <c r="L397" s="4">
        <f t="shared" si="83"/>
        <v>1.7216177783288968E-2</v>
      </c>
      <c r="M397" s="4">
        <f t="shared" si="84"/>
        <v>2.7230534630752428</v>
      </c>
    </row>
    <row r="398" spans="1:13" x14ac:dyDescent="0.4">
      <c r="A398" s="1">
        <f t="shared" si="74"/>
        <v>19.800000000000146</v>
      </c>
      <c r="B398" s="1">
        <f t="shared" si="73"/>
        <v>0.2</v>
      </c>
      <c r="C398" s="1">
        <v>0.2</v>
      </c>
      <c r="D398" s="1">
        <f t="shared" si="75"/>
        <v>0</v>
      </c>
      <c r="E398" s="1">
        <f t="shared" si="76"/>
        <v>0</v>
      </c>
      <c r="F398" s="1">
        <f t="shared" si="77"/>
        <v>0.2</v>
      </c>
      <c r="G398" s="4">
        <f t="shared" si="78"/>
        <v>0</v>
      </c>
      <c r="H398" s="4">
        <f t="shared" si="79"/>
        <v>-4.6910914536463073</v>
      </c>
      <c r="I398" s="3">
        <f t="shared" si="80"/>
        <v>-268.77974160382365</v>
      </c>
      <c r="J398" s="2">
        <f t="shared" si="81"/>
        <v>-2.1295916736378481E-2</v>
      </c>
      <c r="K398" s="2">
        <f t="shared" si="82"/>
        <v>0.99977321624974391</v>
      </c>
      <c r="L398" s="4">
        <f t="shared" si="83"/>
        <v>1.7003218615925183E-2</v>
      </c>
      <c r="M398" s="4">
        <f t="shared" si="84"/>
        <v>2.7330511952377403</v>
      </c>
    </row>
    <row r="399" spans="1:13" x14ac:dyDescent="0.4">
      <c r="A399" s="1">
        <f t="shared" si="74"/>
        <v>19.850000000000147</v>
      </c>
      <c r="B399" s="1">
        <f t="shared" si="73"/>
        <v>0.2</v>
      </c>
      <c r="C399" s="1">
        <v>0.2</v>
      </c>
      <c r="D399" s="1">
        <f t="shared" si="75"/>
        <v>0</v>
      </c>
      <c r="E399" s="1">
        <f t="shared" si="76"/>
        <v>0</v>
      </c>
      <c r="F399" s="1">
        <f t="shared" si="77"/>
        <v>0.2</v>
      </c>
      <c r="G399" s="4">
        <f t="shared" si="78"/>
        <v>0</v>
      </c>
      <c r="H399" s="4">
        <f t="shared" si="79"/>
        <v>-4.6910914536463073</v>
      </c>
      <c r="I399" s="3">
        <f t="shared" si="80"/>
        <v>-268.77974160382365</v>
      </c>
      <c r="J399" s="2">
        <f t="shared" si="81"/>
        <v>-2.1295916736378481E-2</v>
      </c>
      <c r="K399" s="2">
        <f t="shared" si="82"/>
        <v>0.99977321624974391</v>
      </c>
      <c r="L399" s="4">
        <f t="shared" si="83"/>
        <v>1.6790259448561398E-2</v>
      </c>
      <c r="M399" s="4">
        <f t="shared" si="84"/>
        <v>2.7430489274002379</v>
      </c>
    </row>
    <row r="400" spans="1:13" x14ac:dyDescent="0.4">
      <c r="A400" s="1">
        <f t="shared" si="74"/>
        <v>19.900000000000148</v>
      </c>
      <c r="B400" s="1">
        <f t="shared" si="73"/>
        <v>0.2</v>
      </c>
      <c r="C400" s="1">
        <v>0.2</v>
      </c>
      <c r="D400" s="1">
        <f t="shared" si="75"/>
        <v>0</v>
      </c>
      <c r="E400" s="1">
        <f t="shared" si="76"/>
        <v>0</v>
      </c>
      <c r="F400" s="1">
        <f t="shared" si="77"/>
        <v>0.2</v>
      </c>
      <c r="G400" s="4">
        <f t="shared" si="78"/>
        <v>0</v>
      </c>
      <c r="H400" s="4">
        <f t="shared" si="79"/>
        <v>-4.6910914536463073</v>
      </c>
      <c r="I400" s="3">
        <f t="shared" si="80"/>
        <v>-268.77974160382365</v>
      </c>
      <c r="J400" s="2">
        <f t="shared" si="81"/>
        <v>-2.1295916736378481E-2</v>
      </c>
      <c r="K400" s="2">
        <f t="shared" si="82"/>
        <v>0.99977321624974391</v>
      </c>
      <c r="L400" s="4">
        <f t="shared" si="83"/>
        <v>1.6577300281197613E-2</v>
      </c>
      <c r="M400" s="4">
        <f t="shared" si="84"/>
        <v>2.7530466595627354</v>
      </c>
    </row>
    <row r="401" spans="1:13" x14ac:dyDescent="0.4">
      <c r="A401" s="1">
        <f t="shared" si="74"/>
        <v>19.950000000000149</v>
      </c>
      <c r="B401" s="1">
        <f t="shared" si="73"/>
        <v>0.2</v>
      </c>
      <c r="C401" s="1">
        <v>0.2</v>
      </c>
      <c r="D401" s="1">
        <f t="shared" si="75"/>
        <v>0</v>
      </c>
      <c r="E401" s="1">
        <f t="shared" si="76"/>
        <v>0</v>
      </c>
      <c r="F401" s="1">
        <f t="shared" si="77"/>
        <v>0.2</v>
      </c>
      <c r="G401" s="4">
        <f t="shared" si="78"/>
        <v>0</v>
      </c>
      <c r="H401" s="4">
        <f t="shared" si="79"/>
        <v>-4.6910914536463073</v>
      </c>
      <c r="I401" s="3">
        <f t="shared" si="80"/>
        <v>-268.77974160382365</v>
      </c>
      <c r="J401" s="2">
        <f t="shared" si="81"/>
        <v>-2.1295916736378481E-2</v>
      </c>
      <c r="K401" s="2">
        <f t="shared" si="82"/>
        <v>0.99977321624974391</v>
      </c>
      <c r="L401" s="4">
        <f t="shared" si="83"/>
        <v>1.6364341113833829E-2</v>
      </c>
      <c r="M401" s="4">
        <f t="shared" si="84"/>
        <v>2.763044391725233</v>
      </c>
    </row>
    <row r="402" spans="1:13" x14ac:dyDescent="0.4">
      <c r="A402" s="1">
        <f t="shared" si="74"/>
        <v>20.000000000000149</v>
      </c>
      <c r="B402" s="1">
        <f t="shared" si="73"/>
        <v>0.2</v>
      </c>
      <c r="C402" s="1">
        <v>0.2</v>
      </c>
      <c r="D402" s="1">
        <f t="shared" si="75"/>
        <v>0</v>
      </c>
      <c r="E402" s="1">
        <f t="shared" si="76"/>
        <v>0</v>
      </c>
      <c r="F402" s="1">
        <f t="shared" si="77"/>
        <v>0.2</v>
      </c>
      <c r="G402" s="4">
        <f t="shared" si="78"/>
        <v>0</v>
      </c>
      <c r="H402" s="4">
        <f t="shared" si="79"/>
        <v>-4.6910914536463073</v>
      </c>
      <c r="I402" s="3">
        <f t="shared" si="80"/>
        <v>-268.77974160382365</v>
      </c>
      <c r="J402" s="2">
        <f t="shared" si="81"/>
        <v>-2.1295916736378481E-2</v>
      </c>
      <c r="K402" s="2">
        <f t="shared" si="82"/>
        <v>0.99977321624974391</v>
      </c>
      <c r="L402" s="4">
        <f t="shared" si="83"/>
        <v>1.6151381946470044E-2</v>
      </c>
      <c r="M402" s="4">
        <f t="shared" si="84"/>
        <v>2.7730421238877305</v>
      </c>
    </row>
  </sheetData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913B0D-D0A0-4674-B080-9E1C298574E9}">
  <dimension ref="A1:G15"/>
  <sheetViews>
    <sheetView workbookViewId="0">
      <selection activeCell="F11" sqref="F11"/>
    </sheetView>
  </sheetViews>
  <sheetFormatPr defaultRowHeight="18.75" x14ac:dyDescent="0.4"/>
  <sheetData>
    <row r="1" spans="1:7" x14ac:dyDescent="0.4">
      <c r="A1" t="s">
        <v>24</v>
      </c>
    </row>
    <row r="2" spans="1:7" x14ac:dyDescent="0.4">
      <c r="A2" t="s">
        <v>25</v>
      </c>
    </row>
    <row r="3" spans="1:7" x14ac:dyDescent="0.4">
      <c r="A3">
        <f>148.54-4.97</f>
        <v>143.57</v>
      </c>
    </row>
    <row r="4" spans="1:7" x14ac:dyDescent="0.4">
      <c r="A4" t="s">
        <v>27</v>
      </c>
      <c r="B4" t="s">
        <v>30</v>
      </c>
      <c r="C4" t="s">
        <v>31</v>
      </c>
      <c r="D4" t="s">
        <v>30</v>
      </c>
      <c r="E4" t="s">
        <v>31</v>
      </c>
      <c r="F4" t="s">
        <v>32</v>
      </c>
      <c r="G4" t="s">
        <v>32</v>
      </c>
    </row>
    <row r="5" spans="1:7" x14ac:dyDescent="0.4">
      <c r="A5">
        <v>30</v>
      </c>
      <c r="B5">
        <v>7.4</v>
      </c>
      <c r="C5">
        <f>B5/12</f>
        <v>0.6166666666666667</v>
      </c>
      <c r="D5">
        <f>6*1.2</f>
        <v>7.1999999999999993</v>
      </c>
      <c r="E5">
        <f>D5/12</f>
        <v>0.6</v>
      </c>
      <c r="F5">
        <f>A5*C5</f>
        <v>18.5</v>
      </c>
      <c r="G5">
        <f>A5*E5</f>
        <v>18</v>
      </c>
    </row>
    <row r="6" spans="1:7" x14ac:dyDescent="0.4">
      <c r="A6" t="s">
        <v>28</v>
      </c>
      <c r="F6" t="s">
        <v>33</v>
      </c>
      <c r="G6" t="s">
        <v>33</v>
      </c>
    </row>
    <row r="7" spans="1:7" x14ac:dyDescent="0.4">
      <c r="A7">
        <f>80/12</f>
        <v>6.666666666666667</v>
      </c>
      <c r="F7">
        <f>F5*A7</f>
        <v>123.33333333333334</v>
      </c>
      <c r="G7">
        <f>G5*A7</f>
        <v>120</v>
      </c>
    </row>
    <row r="8" spans="1:7" x14ac:dyDescent="0.4">
      <c r="A8" t="s">
        <v>26</v>
      </c>
      <c r="F8" t="s">
        <v>35</v>
      </c>
      <c r="G8" t="s">
        <v>35</v>
      </c>
    </row>
    <row r="9" spans="1:7" x14ac:dyDescent="0.4">
      <c r="A9">
        <v>51.09</v>
      </c>
      <c r="F9">
        <f>F7/A9/2</f>
        <v>1.2070202909897567</v>
      </c>
      <c r="G9">
        <f>G7/A9/2</f>
        <v>1.1743981209630063</v>
      </c>
    </row>
    <row r="10" spans="1:7" x14ac:dyDescent="0.4">
      <c r="A10" t="s">
        <v>29</v>
      </c>
      <c r="F10" t="s">
        <v>34</v>
      </c>
      <c r="G10" t="s">
        <v>34</v>
      </c>
    </row>
    <row r="11" spans="1:7" x14ac:dyDescent="0.4">
      <c r="A11">
        <v>0.74</v>
      </c>
      <c r="F11">
        <f>F9/A11</f>
        <v>1.6311085013375091</v>
      </c>
      <c r="G11">
        <f>G9/A11</f>
        <v>1.5870244877878463</v>
      </c>
    </row>
    <row r="13" spans="1:7" x14ac:dyDescent="0.4">
      <c r="C13" t="s">
        <v>36</v>
      </c>
      <c r="E13" t="s">
        <v>38</v>
      </c>
    </row>
    <row r="14" spans="1:7" x14ac:dyDescent="0.4">
      <c r="C14" t="s">
        <v>37</v>
      </c>
      <c r="E14" t="s">
        <v>39</v>
      </c>
    </row>
    <row r="15" spans="1:7" x14ac:dyDescent="0.4">
      <c r="C15">
        <f>F11</f>
        <v>1.6311085013375091</v>
      </c>
      <c r="E15">
        <f>G11</f>
        <v>1.5870244877878463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562903-B8A9-475B-89E9-354C0B3C3E59}">
  <sheetPr codeName="Sheet2"/>
  <dimension ref="A1:Y402"/>
  <sheetViews>
    <sheetView tabSelected="1" topLeftCell="E1" zoomScale="85" zoomScaleNormal="85" workbookViewId="0">
      <pane ySplit="1" topLeftCell="A2" activePane="bottomLeft" state="frozen"/>
      <selection pane="bottomLeft" activeCell="O28" sqref="O28"/>
    </sheetView>
  </sheetViews>
  <sheetFormatPr defaultRowHeight="18.75" x14ac:dyDescent="0.4"/>
  <cols>
    <col min="1" max="1" width="7.625" style="1" customWidth="1"/>
    <col min="2" max="2" width="9" style="1"/>
    <col min="3" max="3" width="9" style="1" customWidth="1"/>
    <col min="4" max="4" width="9.625" style="1" bestFit="1" customWidth="1"/>
    <col min="5" max="6" width="9" style="1"/>
    <col min="7" max="8" width="9" style="4"/>
    <col min="9" max="9" width="9" style="3"/>
    <col min="10" max="11" width="9" style="2"/>
    <col min="12" max="13" width="9" style="4"/>
    <col min="16" max="16" width="11.5" customWidth="1"/>
    <col min="18" max="18" width="11.875" customWidth="1"/>
    <col min="19" max="19" width="17.125" customWidth="1"/>
  </cols>
  <sheetData>
    <row r="1" spans="1:25" ht="36.75" customHeight="1" x14ac:dyDescent="0.4">
      <c r="A1" s="18" t="s">
        <v>8</v>
      </c>
      <c r="B1" s="19" t="s">
        <v>9</v>
      </c>
      <c r="C1" s="19" t="s">
        <v>10</v>
      </c>
      <c r="D1" s="19" t="s">
        <v>22</v>
      </c>
      <c r="E1" s="19" t="s">
        <v>23</v>
      </c>
      <c r="F1" s="19" t="s">
        <v>11</v>
      </c>
      <c r="G1" s="20" t="s">
        <v>12</v>
      </c>
      <c r="H1" s="20" t="s">
        <v>13</v>
      </c>
      <c r="I1" s="21" t="s">
        <v>14</v>
      </c>
      <c r="J1" s="22" t="s">
        <v>0</v>
      </c>
      <c r="K1" s="22" t="s">
        <v>1</v>
      </c>
      <c r="L1" s="20" t="s">
        <v>15</v>
      </c>
      <c r="M1" s="23" t="s">
        <v>16</v>
      </c>
      <c r="N1" s="24" t="s">
        <v>17</v>
      </c>
      <c r="O1" s="25" t="s">
        <v>20</v>
      </c>
      <c r="P1" s="26" t="s">
        <v>18</v>
      </c>
      <c r="Q1" s="27"/>
      <c r="R1" s="28" t="s">
        <v>19</v>
      </c>
      <c r="U1" s="16" t="s">
        <v>4</v>
      </c>
      <c r="V1" s="17"/>
      <c r="X1" s="16" t="s">
        <v>21</v>
      </c>
    </row>
    <row r="2" spans="1:25" x14ac:dyDescent="0.4">
      <c r="A2" s="9">
        <v>0</v>
      </c>
      <c r="B2" s="10">
        <v>0</v>
      </c>
      <c r="C2" s="10">
        <v>0</v>
      </c>
      <c r="D2" s="10"/>
      <c r="E2" s="10"/>
      <c r="F2" s="10">
        <v>0</v>
      </c>
      <c r="G2" s="11">
        <v>0</v>
      </c>
      <c r="H2" s="11">
        <v>0</v>
      </c>
      <c r="I2" s="12">
        <v>0</v>
      </c>
      <c r="J2" s="13">
        <f>COS(H2)</f>
        <v>1</v>
      </c>
      <c r="K2" s="13">
        <f>SIN(H2)</f>
        <v>0</v>
      </c>
      <c r="L2" s="11">
        <v>0</v>
      </c>
      <c r="M2" s="14">
        <v>0</v>
      </c>
      <c r="N2" s="8" t="s">
        <v>7</v>
      </c>
      <c r="O2" s="15">
        <f>COUNT(A1:A10000)+1</f>
        <v>402</v>
      </c>
      <c r="P2" s="29" t="s">
        <v>5</v>
      </c>
      <c r="Q2" s="30"/>
      <c r="R2" s="29" t="s">
        <v>6</v>
      </c>
      <c r="U2" s="5" t="s">
        <v>2</v>
      </c>
      <c r="V2" s="5" t="s">
        <v>3</v>
      </c>
      <c r="W2" s="5" t="s">
        <v>2</v>
      </c>
      <c r="X2" s="5" t="s">
        <v>3</v>
      </c>
    </row>
    <row r="3" spans="1:25" x14ac:dyDescent="0.4">
      <c r="A3" s="1">
        <f>A2+$P$3</f>
        <v>0.05</v>
      </c>
      <c r="B3" s="1">
        <f>B2+D3*$P$3</f>
        <v>7.5000000000000011E-2</v>
      </c>
      <c r="C3" s="1">
        <f>C2+E3*$P$3</f>
        <v>2.5000000000000005E-3</v>
      </c>
      <c r="D3" s="1">
        <v>1.5</v>
      </c>
      <c r="E3" s="1">
        <v>0.05</v>
      </c>
      <c r="F3" s="1">
        <f>(B3+C3)/2</f>
        <v>3.8750000000000007E-2</v>
      </c>
      <c r="G3" s="4">
        <f>(B3-C3)/R$3</f>
        <v>0.50498014905620958</v>
      </c>
      <c r="H3" s="4">
        <f>H2+G3*P$3</f>
        <v>2.524900745281048E-2</v>
      </c>
      <c r="I3" s="3">
        <f>H3*180/PI()</f>
        <v>1.4466615639404017</v>
      </c>
      <c r="J3" s="2">
        <f>COS((H3+H2)/2)</f>
        <v>0.99992031201121612</v>
      </c>
      <c r="K3" s="2">
        <f>SIN((H3+H2)/2)</f>
        <v>1.2624168384186582E-2</v>
      </c>
      <c r="L3" s="4">
        <f>L2+F3*P$3*J3</f>
        <v>1.9373456045217315E-3</v>
      </c>
      <c r="M3" s="4">
        <f>M2+F3*P$3*K3</f>
        <v>2.4459326244361507E-5</v>
      </c>
      <c r="P3" s="29">
        <v>0.05</v>
      </c>
      <c r="Q3" s="30"/>
      <c r="R3" s="29">
        <v>0.14357</v>
      </c>
      <c r="U3" s="6">
        <v>-0.04</v>
      </c>
      <c r="V3" s="6">
        <v>0.05</v>
      </c>
      <c r="X3" s="31">
        <v>8.08</v>
      </c>
      <c r="Y3" s="33">
        <v>0.05</v>
      </c>
    </row>
    <row r="4" spans="1:25" x14ac:dyDescent="0.4">
      <c r="A4" s="1">
        <f t="shared" ref="A4:A67" si="0">A3+$P$3</f>
        <v>0.1</v>
      </c>
      <c r="B4" s="1">
        <f>B3+D4*$P$3</f>
        <v>0.15000000000000002</v>
      </c>
      <c r="C4" s="1">
        <f>C3+E4*$P$3</f>
        <v>5.000000000000001E-3</v>
      </c>
      <c r="D4" s="1">
        <v>1.5</v>
      </c>
      <c r="E4" s="1">
        <v>0.05</v>
      </c>
      <c r="F4" s="1">
        <f t="shared" ref="F4:F67" si="1">(B4+C4)/2</f>
        <v>7.7500000000000013E-2</v>
      </c>
      <c r="G4" s="4">
        <f t="shared" ref="G4:G67" si="2">(B4-C4)/R$3</f>
        <v>1.0099602981124192</v>
      </c>
      <c r="H4" s="4">
        <f t="shared" ref="H4:H67" si="3">H3+G4*P$3</f>
        <v>7.5747022358431448E-2</v>
      </c>
      <c r="I4" s="3">
        <f t="shared" ref="I4:I67" si="4">H4*180/PI()</f>
        <v>4.3399846918212051</v>
      </c>
      <c r="J4" s="2">
        <f t="shared" ref="J4:J67" si="5">COS((H4+H3)/2)</f>
        <v>0.99872524617028668</v>
      </c>
      <c r="K4" s="2">
        <f t="shared" ref="K4:K67" si="6">SIN((H4+H3)/2)</f>
        <v>5.0476555568899566E-2</v>
      </c>
      <c r="L4" s="4">
        <f t="shared" ref="L4:L67" si="7">L3+F4*P$3*J4</f>
        <v>5.8074059334315932E-3</v>
      </c>
      <c r="M4" s="4">
        <f t="shared" ref="M4:M67" si="8">M3+F4*P$3*K4</f>
        <v>2.2005597907384737E-4</v>
      </c>
      <c r="U4" s="6">
        <v>0.09</v>
      </c>
      <c r="V4" s="6">
        <v>0.05</v>
      </c>
      <c r="X4" s="31">
        <v>8.2099999999999991</v>
      </c>
      <c r="Y4" s="33">
        <v>0.05</v>
      </c>
    </row>
    <row r="5" spans="1:25" x14ac:dyDescent="0.4">
      <c r="A5" s="1">
        <f t="shared" si="0"/>
        <v>0.15000000000000002</v>
      </c>
      <c r="B5" s="1">
        <v>0.19073000000000001</v>
      </c>
      <c r="C5" s="1">
        <v>1.0319999999999999E-2</v>
      </c>
      <c r="D5" s="1">
        <f>(B5-B4)/$P$3</f>
        <v>0.81459999999999977</v>
      </c>
      <c r="E5" s="1">
        <f t="shared" ref="E5:E67" si="9">(C5-C4)/$P$3</f>
        <v>0.10639999999999997</v>
      </c>
      <c r="F5" s="1">
        <f t="shared" si="1"/>
        <v>0.100525</v>
      </c>
      <c r="G5" s="4">
        <f t="shared" si="2"/>
        <v>1.2565995681549071</v>
      </c>
      <c r="H5" s="4">
        <f t="shared" si="3"/>
        <v>0.13857700076617679</v>
      </c>
      <c r="I5" s="3">
        <f t="shared" si="4"/>
        <v>7.9398772814831062</v>
      </c>
      <c r="J5" s="2">
        <f t="shared" si="5"/>
        <v>0.99426364433980308</v>
      </c>
      <c r="K5" s="2">
        <f t="shared" si="6"/>
        <v>0.10695702662346933</v>
      </c>
      <c r="L5" s="4">
        <f t="shared" si="7"/>
        <v>1.0804823575794528E-2</v>
      </c>
      <c r="M5" s="4">
        <f t="shared" si="8"/>
        <v>7.5764873414006003E-4</v>
      </c>
      <c r="U5" s="6">
        <v>0.09</v>
      </c>
      <c r="V5" s="6">
        <v>-0.05</v>
      </c>
      <c r="X5" s="31">
        <v>8.2099999999999991</v>
      </c>
      <c r="Y5" s="33">
        <v>-0.05</v>
      </c>
    </row>
    <row r="6" spans="1:25" x14ac:dyDescent="0.4">
      <c r="A6" s="1">
        <f t="shared" si="0"/>
        <v>0.2</v>
      </c>
      <c r="B6" s="1">
        <f>B5</f>
        <v>0.19073000000000001</v>
      </c>
      <c r="C6" s="1">
        <f>C5</f>
        <v>1.0319999999999999E-2</v>
      </c>
      <c r="D6" s="1">
        <f t="shared" ref="D6:E68" si="10">(B6-B5)/$P$3</f>
        <v>0</v>
      </c>
      <c r="E6" s="1">
        <f t="shared" si="9"/>
        <v>0</v>
      </c>
      <c r="F6" s="1">
        <f t="shared" si="1"/>
        <v>0.100525</v>
      </c>
      <c r="G6" s="4">
        <f t="shared" si="2"/>
        <v>1.2565995681549071</v>
      </c>
      <c r="H6" s="4">
        <f t="shared" si="3"/>
        <v>0.20140697917392214</v>
      </c>
      <c r="I6" s="3">
        <f t="shared" si="4"/>
        <v>11.539769871145007</v>
      </c>
      <c r="J6" s="2">
        <f t="shared" si="5"/>
        <v>0.98558612203362594</v>
      </c>
      <c r="K6" s="2">
        <f t="shared" si="6"/>
        <v>0.16917445449806695</v>
      </c>
      <c r="L6" s="4">
        <f t="shared" si="7"/>
        <v>1.5758625821666039E-2</v>
      </c>
      <c r="M6" s="4">
        <f t="shared" si="8"/>
        <v>1.6079618360609691E-3</v>
      </c>
      <c r="U6" s="6">
        <v>-0.04</v>
      </c>
      <c r="V6" s="6">
        <v>-0.05</v>
      </c>
      <c r="X6" s="31">
        <v>8.08</v>
      </c>
      <c r="Y6" s="33">
        <v>-0.05</v>
      </c>
    </row>
    <row r="7" spans="1:25" x14ac:dyDescent="0.4">
      <c r="A7" s="1">
        <f t="shared" si="0"/>
        <v>0.25</v>
      </c>
      <c r="B7" s="1">
        <f t="shared" ref="B7:B70" si="11">B6</f>
        <v>0.19073000000000001</v>
      </c>
      <c r="C7" s="1">
        <f t="shared" ref="C7:C70" si="12">C6</f>
        <v>1.0319999999999999E-2</v>
      </c>
      <c r="D7" s="1">
        <f t="shared" si="10"/>
        <v>0</v>
      </c>
      <c r="E7" s="1">
        <f t="shared" si="9"/>
        <v>0</v>
      </c>
      <c r="F7" s="1">
        <f t="shared" si="1"/>
        <v>0.100525</v>
      </c>
      <c r="G7" s="4">
        <f t="shared" si="2"/>
        <v>1.2565995681549071</v>
      </c>
      <c r="H7" s="4">
        <f t="shared" si="3"/>
        <v>0.26423695758166749</v>
      </c>
      <c r="I7" s="3">
        <f t="shared" si="4"/>
        <v>15.139662460806907</v>
      </c>
      <c r="J7" s="2">
        <f t="shared" si="5"/>
        <v>0.97301917360070556</v>
      </c>
      <c r="K7" s="2">
        <f t="shared" si="6"/>
        <v>0.23072426791605607</v>
      </c>
      <c r="L7" s="4">
        <f t="shared" si="7"/>
        <v>2.0649263442976587E-2</v>
      </c>
      <c r="M7" s="4">
        <f t="shared" si="8"/>
        <v>2.7676396876740459E-3</v>
      </c>
      <c r="U7" s="6">
        <v>-0.04</v>
      </c>
      <c r="V7" s="6">
        <v>0.05</v>
      </c>
      <c r="X7" s="31">
        <v>8.08</v>
      </c>
      <c r="Y7" s="33">
        <v>0.05</v>
      </c>
    </row>
    <row r="8" spans="1:25" x14ac:dyDescent="0.4">
      <c r="A8" s="1">
        <f t="shared" si="0"/>
        <v>0.3</v>
      </c>
      <c r="B8" s="1">
        <f t="shared" si="11"/>
        <v>0.19073000000000001</v>
      </c>
      <c r="C8" s="1">
        <f t="shared" si="12"/>
        <v>1.0319999999999999E-2</v>
      </c>
      <c r="D8" s="1">
        <f t="shared" si="10"/>
        <v>0</v>
      </c>
      <c r="E8" s="1">
        <f t="shared" si="9"/>
        <v>0</v>
      </c>
      <c r="F8" s="1">
        <f t="shared" si="1"/>
        <v>0.100525</v>
      </c>
      <c r="G8" s="4">
        <f t="shared" si="2"/>
        <v>1.2565995681549071</v>
      </c>
      <c r="H8" s="4">
        <f t="shared" si="3"/>
        <v>0.32706693598941283</v>
      </c>
      <c r="I8" s="3">
        <f t="shared" si="4"/>
        <v>18.739555050468805</v>
      </c>
      <c r="J8" s="2">
        <f t="shared" si="5"/>
        <v>0.95661239208671867</v>
      </c>
      <c r="K8" s="2">
        <f t="shared" si="6"/>
        <v>0.29136357237329119</v>
      </c>
      <c r="L8" s="4">
        <f t="shared" si="7"/>
        <v>2.5457436478702456E-2</v>
      </c>
      <c r="M8" s="4">
        <f t="shared" si="8"/>
        <v>4.2321058433153012E-3</v>
      </c>
      <c r="U8" s="7"/>
      <c r="V8" s="7"/>
      <c r="X8" s="32"/>
      <c r="Y8" s="34"/>
    </row>
    <row r="9" spans="1:25" x14ac:dyDescent="0.4">
      <c r="A9" s="1">
        <f t="shared" si="0"/>
        <v>0.35</v>
      </c>
      <c r="B9" s="1">
        <f t="shared" si="11"/>
        <v>0.19073000000000001</v>
      </c>
      <c r="C9" s="1">
        <f t="shared" si="12"/>
        <v>1.0319999999999999E-2</v>
      </c>
      <c r="D9" s="1">
        <f t="shared" si="10"/>
        <v>0</v>
      </c>
      <c r="E9" s="1">
        <f t="shared" si="9"/>
        <v>0</v>
      </c>
      <c r="F9" s="1">
        <f t="shared" si="1"/>
        <v>0.100525</v>
      </c>
      <c r="G9" s="4">
        <f t="shared" si="2"/>
        <v>1.2565995681549071</v>
      </c>
      <c r="H9" s="4">
        <f t="shared" si="3"/>
        <v>0.38989691439715818</v>
      </c>
      <c r="I9" s="3">
        <f t="shared" si="4"/>
        <v>22.339447640130707</v>
      </c>
      <c r="J9" s="2">
        <f t="shared" si="5"/>
        <v>0.93643052370029145</v>
      </c>
      <c r="K9" s="2">
        <f t="shared" si="6"/>
        <v>0.35085306651417192</v>
      </c>
      <c r="L9" s="4">
        <f t="shared" si="7"/>
        <v>3.0164170398451047E-2</v>
      </c>
      <c r="M9" s="4">
        <f t="shared" si="8"/>
        <v>5.9955810688821576E-3</v>
      </c>
      <c r="U9" s="6">
        <v>-0.04</v>
      </c>
      <c r="V9" s="6">
        <v>7.0000000000000007E-2</v>
      </c>
      <c r="X9" s="31">
        <v>8.08</v>
      </c>
      <c r="Y9" s="33">
        <v>7.0000000000000007E-2</v>
      </c>
    </row>
    <row r="10" spans="1:25" x14ac:dyDescent="0.4">
      <c r="A10" s="1">
        <f t="shared" si="0"/>
        <v>0.39999999999999997</v>
      </c>
      <c r="B10" s="1">
        <f t="shared" si="11"/>
        <v>0.19073000000000001</v>
      </c>
      <c r="C10" s="1">
        <f t="shared" si="12"/>
        <v>1.0319999999999999E-2</v>
      </c>
      <c r="D10" s="1">
        <f t="shared" si="10"/>
        <v>0</v>
      </c>
      <c r="E10" s="1">
        <f t="shared" si="9"/>
        <v>0</v>
      </c>
      <c r="F10" s="1">
        <f t="shared" si="1"/>
        <v>0.100525</v>
      </c>
      <c r="G10" s="4">
        <f t="shared" si="2"/>
        <v>1.2565995681549071</v>
      </c>
      <c r="H10" s="4">
        <f t="shared" si="3"/>
        <v>0.45272689280490352</v>
      </c>
      <c r="I10" s="3">
        <f t="shared" si="4"/>
        <v>25.939340229792606</v>
      </c>
      <c r="J10" s="2">
        <f t="shared" si="5"/>
        <v>0.91255321230453623</v>
      </c>
      <c r="K10" s="2">
        <f t="shared" si="6"/>
        <v>0.40895798648843146</v>
      </c>
      <c r="L10" s="4">
        <f t="shared" si="7"/>
        <v>3.475089098179672E-2</v>
      </c>
      <c r="M10" s="4">
        <f t="shared" si="8"/>
        <v>8.0511061484696365E-3</v>
      </c>
      <c r="U10" s="6">
        <v>0.04</v>
      </c>
      <c r="V10" s="6">
        <v>7.0000000000000007E-2</v>
      </c>
      <c r="X10" s="31">
        <v>8.1599999999999984</v>
      </c>
      <c r="Y10" s="33">
        <v>7.0000000000000007E-2</v>
      </c>
    </row>
    <row r="11" spans="1:25" x14ac:dyDescent="0.4">
      <c r="A11" s="1">
        <f t="shared" si="0"/>
        <v>0.44999999999999996</v>
      </c>
      <c r="B11" s="1">
        <f t="shared" si="11"/>
        <v>0.19073000000000001</v>
      </c>
      <c r="C11" s="1">
        <f t="shared" si="12"/>
        <v>1.0319999999999999E-2</v>
      </c>
      <c r="D11" s="1">
        <f t="shared" si="10"/>
        <v>0</v>
      </c>
      <c r="E11" s="1">
        <f t="shared" si="9"/>
        <v>0</v>
      </c>
      <c r="F11" s="1">
        <f t="shared" si="1"/>
        <v>0.100525</v>
      </c>
      <c r="G11" s="4">
        <f t="shared" si="2"/>
        <v>1.2565995681549071</v>
      </c>
      <c r="H11" s="4">
        <f t="shared" si="3"/>
        <v>0.51555687121264893</v>
      </c>
      <c r="I11" s="3">
        <f t="shared" si="4"/>
        <v>29.539232819454512</v>
      </c>
      <c r="J11" s="2">
        <f t="shared" si="5"/>
        <v>0.88507468511785925</v>
      </c>
      <c r="K11" s="2">
        <f t="shared" si="6"/>
        <v>0.46544903240153179</v>
      </c>
      <c r="L11" s="4">
        <f t="shared" si="7"/>
        <v>3.9199497617870359E-2</v>
      </c>
      <c r="M11" s="4">
        <f t="shared" si="8"/>
        <v>1.0390569347577837E-2</v>
      </c>
      <c r="U11" s="7"/>
      <c r="V11" s="7"/>
      <c r="X11" s="32"/>
      <c r="Y11" s="34"/>
    </row>
    <row r="12" spans="1:25" x14ac:dyDescent="0.4">
      <c r="A12" s="1">
        <f t="shared" si="0"/>
        <v>0.49999999999999994</v>
      </c>
      <c r="B12" s="1">
        <f t="shared" si="11"/>
        <v>0.19073000000000001</v>
      </c>
      <c r="C12" s="1">
        <f t="shared" si="12"/>
        <v>1.0319999999999999E-2</v>
      </c>
      <c r="D12" s="1">
        <f t="shared" si="10"/>
        <v>0</v>
      </c>
      <c r="E12" s="1">
        <f t="shared" si="9"/>
        <v>0</v>
      </c>
      <c r="F12" s="1">
        <f t="shared" si="1"/>
        <v>0.100525</v>
      </c>
      <c r="G12" s="4">
        <f t="shared" si="2"/>
        <v>1.2565995681549071</v>
      </c>
      <c r="H12" s="4">
        <f t="shared" si="3"/>
        <v>0.57838684962039433</v>
      </c>
      <c r="I12" s="3">
        <f t="shared" si="4"/>
        <v>33.139125409116417</v>
      </c>
      <c r="J12" s="2">
        <f t="shared" si="5"/>
        <v>0.85410338086436088</v>
      </c>
      <c r="K12" s="2">
        <f t="shared" si="6"/>
        <v>0.52010327320260963</v>
      </c>
      <c r="L12" s="4">
        <f t="shared" si="7"/>
        <v>4.3492434735939854E-2</v>
      </c>
      <c r="M12" s="4">
        <f t="shared" si="8"/>
        <v>1.3004738424512453E-2</v>
      </c>
      <c r="U12" s="6">
        <v>-0.04</v>
      </c>
      <c r="V12" s="6">
        <v>-7.0000000000000007E-2</v>
      </c>
      <c r="X12" s="31">
        <v>8.08</v>
      </c>
      <c r="Y12" s="33">
        <v>-7.0000000000000007E-2</v>
      </c>
    </row>
    <row r="13" spans="1:25" x14ac:dyDescent="0.4">
      <c r="A13" s="1">
        <f t="shared" si="0"/>
        <v>0.54999999999999993</v>
      </c>
      <c r="B13" s="1">
        <f t="shared" si="11"/>
        <v>0.19073000000000001</v>
      </c>
      <c r="C13" s="1">
        <f t="shared" si="12"/>
        <v>1.0319999999999999E-2</v>
      </c>
      <c r="D13" s="1">
        <f t="shared" si="10"/>
        <v>0</v>
      </c>
      <c r="E13" s="1">
        <f t="shared" si="9"/>
        <v>0</v>
      </c>
      <c r="F13" s="1">
        <f t="shared" si="1"/>
        <v>0.100525</v>
      </c>
      <c r="G13" s="4">
        <f t="shared" si="2"/>
        <v>1.2565995681549071</v>
      </c>
      <c r="H13" s="4">
        <f t="shared" si="3"/>
        <v>0.64121682802813973</v>
      </c>
      <c r="I13" s="3">
        <f t="shared" si="4"/>
        <v>36.739017998778316</v>
      </c>
      <c r="J13" s="2">
        <f t="shared" si="5"/>
        <v>0.81976152184126094</v>
      </c>
      <c r="K13" s="2">
        <f t="shared" si="6"/>
        <v>0.57270502643900356</v>
      </c>
      <c r="L13" s="4">
        <f t="shared" si="7"/>
        <v>4.761276108509449E-2</v>
      </c>
      <c r="M13" s="4">
        <f t="shared" si="8"/>
        <v>1.5883297063651495E-2</v>
      </c>
      <c r="U13" s="6">
        <v>0.04</v>
      </c>
      <c r="V13" s="6">
        <v>-7.0000000000000007E-2</v>
      </c>
      <c r="X13" s="31">
        <v>8.1599999999999984</v>
      </c>
      <c r="Y13" s="33">
        <v>-7.0000000000000007E-2</v>
      </c>
    </row>
    <row r="14" spans="1:25" x14ac:dyDescent="0.4">
      <c r="A14" s="1">
        <f t="shared" si="0"/>
        <v>0.6</v>
      </c>
      <c r="B14" s="1">
        <f t="shared" si="11"/>
        <v>0.19073000000000001</v>
      </c>
      <c r="C14" s="1">
        <f t="shared" si="12"/>
        <v>1.0319999999999999E-2</v>
      </c>
      <c r="D14" s="1">
        <f t="shared" si="10"/>
        <v>0</v>
      </c>
      <c r="E14" s="1">
        <f t="shared" si="9"/>
        <v>0</v>
      </c>
      <c r="F14" s="1">
        <f t="shared" si="1"/>
        <v>0.100525</v>
      </c>
      <c r="G14" s="4">
        <f t="shared" si="2"/>
        <v>1.2565995681549071</v>
      </c>
      <c r="H14" s="4">
        <f t="shared" si="3"/>
        <v>0.70404680643588513</v>
      </c>
      <c r="I14" s="3">
        <f t="shared" si="4"/>
        <v>40.338910588440221</v>
      </c>
      <c r="J14" s="2">
        <f t="shared" si="5"/>
        <v>0.78218463159210283</v>
      </c>
      <c r="K14" s="2">
        <f t="shared" si="6"/>
        <v>0.62304670940558415</v>
      </c>
      <c r="L14" s="4">
        <f t="shared" si="7"/>
        <v>5.1544216589634297E-2</v>
      </c>
      <c r="M14" s="4">
        <f t="shared" si="8"/>
        <v>1.9014885586801311E-2</v>
      </c>
    </row>
    <row r="15" spans="1:25" x14ac:dyDescent="0.4">
      <c r="A15" s="1">
        <f t="shared" si="0"/>
        <v>0.65</v>
      </c>
      <c r="B15" s="1">
        <f t="shared" si="11"/>
        <v>0.19073000000000001</v>
      </c>
      <c r="C15" s="1">
        <f t="shared" si="12"/>
        <v>1.0319999999999999E-2</v>
      </c>
      <c r="D15" s="1">
        <f t="shared" si="10"/>
        <v>0</v>
      </c>
      <c r="E15" s="1">
        <f t="shared" si="9"/>
        <v>0</v>
      </c>
      <c r="F15" s="1">
        <f t="shared" si="1"/>
        <v>0.100525</v>
      </c>
      <c r="G15" s="4">
        <f t="shared" si="2"/>
        <v>1.2565995681549071</v>
      </c>
      <c r="H15" s="4">
        <f t="shared" si="3"/>
        <v>0.76687678484363053</v>
      </c>
      <c r="I15" s="3">
        <f t="shared" si="4"/>
        <v>43.938803178102127</v>
      </c>
      <c r="J15" s="2">
        <f t="shared" si="5"/>
        <v>0.74152100008914745</v>
      </c>
      <c r="K15" s="2">
        <f t="shared" si="6"/>
        <v>0.67092965832998519</v>
      </c>
      <c r="L15" s="4">
        <f t="shared" si="7"/>
        <v>5.5271286516332375E-2</v>
      </c>
      <c r="M15" s="4">
        <f t="shared" si="8"/>
        <v>2.23871457819824E-2</v>
      </c>
    </row>
    <row r="16" spans="1:25" x14ac:dyDescent="0.4">
      <c r="A16" s="1">
        <f t="shared" si="0"/>
        <v>0.70000000000000007</v>
      </c>
      <c r="B16" s="1">
        <f t="shared" si="11"/>
        <v>0.19073000000000001</v>
      </c>
      <c r="C16" s="1">
        <f t="shared" si="12"/>
        <v>1.0319999999999999E-2</v>
      </c>
      <c r="D16" s="1">
        <f t="shared" si="10"/>
        <v>0</v>
      </c>
      <c r="E16" s="1">
        <f t="shared" si="9"/>
        <v>0</v>
      </c>
      <c r="F16" s="1">
        <f t="shared" si="1"/>
        <v>0.100525</v>
      </c>
      <c r="G16" s="4">
        <f t="shared" si="2"/>
        <v>1.2565995681549071</v>
      </c>
      <c r="H16" s="4">
        <f t="shared" si="3"/>
        <v>0.82970676325137593</v>
      </c>
      <c r="I16" s="3">
        <f t="shared" si="4"/>
        <v>47.538695767764025</v>
      </c>
      <c r="J16" s="2">
        <f t="shared" si="5"/>
        <v>0.69793109853550905</v>
      </c>
      <c r="K16" s="2">
        <f t="shared" si="6"/>
        <v>0.71616491236098512</v>
      </c>
      <c r="L16" s="4">
        <f t="shared" si="7"/>
        <v>5.8779262700346481E-2</v>
      </c>
      <c r="M16" s="4">
        <f t="shared" si="8"/>
        <v>2.59867696727368E-2</v>
      </c>
    </row>
    <row r="17" spans="1:13" x14ac:dyDescent="0.4">
      <c r="A17" s="1">
        <f t="shared" si="0"/>
        <v>0.75000000000000011</v>
      </c>
      <c r="B17" s="1">
        <f t="shared" si="11"/>
        <v>0.19073000000000001</v>
      </c>
      <c r="C17" s="1">
        <f t="shared" si="12"/>
        <v>1.0319999999999999E-2</v>
      </c>
      <c r="D17" s="1">
        <f t="shared" si="10"/>
        <v>0</v>
      </c>
      <c r="E17" s="1">
        <f t="shared" si="9"/>
        <v>0</v>
      </c>
      <c r="F17" s="1">
        <f t="shared" si="1"/>
        <v>0.100525</v>
      </c>
      <c r="G17" s="4">
        <f t="shared" si="2"/>
        <v>1.2565995681549071</v>
      </c>
      <c r="H17" s="4">
        <f t="shared" si="3"/>
        <v>0.89253674165912134</v>
      </c>
      <c r="I17" s="3">
        <f t="shared" si="4"/>
        <v>51.138588357425931</v>
      </c>
      <c r="J17" s="2">
        <f t="shared" si="5"/>
        <v>0.65158694609640844</v>
      </c>
      <c r="K17" s="2">
        <f t="shared" si="6"/>
        <v>0.7585739592661721</v>
      </c>
      <c r="L17" s="4">
        <f t="shared" si="7"/>
        <v>6.2054301588163552E-2</v>
      </c>
      <c r="M17" s="4">
        <f t="shared" si="8"/>
        <v>2.9799552035498399E-2</v>
      </c>
    </row>
    <row r="18" spans="1:13" x14ac:dyDescent="0.4">
      <c r="A18" s="1">
        <f t="shared" si="0"/>
        <v>0.80000000000000016</v>
      </c>
      <c r="B18" s="1">
        <f t="shared" si="11"/>
        <v>0.19073000000000001</v>
      </c>
      <c r="C18" s="1">
        <f t="shared" si="12"/>
        <v>1.0319999999999999E-2</v>
      </c>
      <c r="D18" s="1">
        <f t="shared" si="10"/>
        <v>0</v>
      </c>
      <c r="E18" s="1">
        <f t="shared" si="9"/>
        <v>0</v>
      </c>
      <c r="F18" s="1">
        <f t="shared" si="1"/>
        <v>0.100525</v>
      </c>
      <c r="G18" s="4">
        <f t="shared" si="2"/>
        <v>1.2565995681549071</v>
      </c>
      <c r="H18" s="4">
        <f t="shared" si="3"/>
        <v>0.95536672006686674</v>
      </c>
      <c r="I18" s="3">
        <f t="shared" si="4"/>
        <v>54.738480947087837</v>
      </c>
      <c r="J18" s="2">
        <f t="shared" si="5"/>
        <v>0.60267143105861043</v>
      </c>
      <c r="K18" s="2">
        <f t="shared" si="6"/>
        <v>0.79798943989614712</v>
      </c>
      <c r="L18" s="4">
        <f t="shared" si="7"/>
        <v>6.5083478868521893E-2</v>
      </c>
      <c r="M18" s="4">
        <f t="shared" si="8"/>
        <v>3.3810446457776408E-2</v>
      </c>
    </row>
    <row r="19" spans="1:13" x14ac:dyDescent="0.4">
      <c r="A19" s="1">
        <f t="shared" si="0"/>
        <v>0.8500000000000002</v>
      </c>
      <c r="B19" s="1">
        <f t="shared" si="11"/>
        <v>0.19073000000000001</v>
      </c>
      <c r="C19" s="1">
        <f t="shared" si="12"/>
        <v>1.0319999999999999E-2</v>
      </c>
      <c r="D19" s="1">
        <f t="shared" si="10"/>
        <v>0</v>
      </c>
      <c r="E19" s="1">
        <f t="shared" si="9"/>
        <v>0</v>
      </c>
      <c r="F19" s="1">
        <f t="shared" si="1"/>
        <v>0.100525</v>
      </c>
      <c r="G19" s="4">
        <f t="shared" si="2"/>
        <v>1.2565995681549071</v>
      </c>
      <c r="H19" s="4">
        <f t="shared" si="3"/>
        <v>1.018196698474612</v>
      </c>
      <c r="I19" s="3">
        <f t="shared" si="4"/>
        <v>58.338373536749735</v>
      </c>
      <c r="J19" s="2">
        <f t="shared" si="5"/>
        <v>0.55137758909696699</v>
      </c>
      <c r="K19" s="2">
        <f t="shared" si="6"/>
        <v>0.83425580863522686</v>
      </c>
      <c r="L19" s="4">
        <f t="shared" si="7"/>
        <v>6.7854840475720518E-2</v>
      </c>
      <c r="M19" s="4">
        <f t="shared" si="8"/>
        <v>3.8003624715929218E-2</v>
      </c>
    </row>
    <row r="20" spans="1:13" x14ac:dyDescent="0.4">
      <c r="A20" s="1">
        <f t="shared" si="0"/>
        <v>0.90000000000000024</v>
      </c>
      <c r="B20" s="1">
        <f t="shared" si="11"/>
        <v>0.19073000000000001</v>
      </c>
      <c r="C20" s="1">
        <f t="shared" si="12"/>
        <v>1.0319999999999999E-2</v>
      </c>
      <c r="D20" s="1">
        <f t="shared" si="10"/>
        <v>0</v>
      </c>
      <c r="E20" s="1">
        <f t="shared" si="9"/>
        <v>0</v>
      </c>
      <c r="F20" s="1">
        <f t="shared" si="1"/>
        <v>0.100525</v>
      </c>
      <c r="G20" s="4">
        <f t="shared" si="2"/>
        <v>1.2565995681549071</v>
      </c>
      <c r="H20" s="4">
        <f t="shared" si="3"/>
        <v>1.0810266768823573</v>
      </c>
      <c r="I20" s="3">
        <f t="shared" si="4"/>
        <v>61.938266126411634</v>
      </c>
      <c r="J20" s="2">
        <f t="shared" si="5"/>
        <v>0.49790784149624107</v>
      </c>
      <c r="K20" s="2">
        <f t="shared" si="6"/>
        <v>0.86722994723230939</v>
      </c>
      <c r="L20" s="4">
        <f t="shared" si="7"/>
        <v>7.0357449764041E-2</v>
      </c>
      <c r="M20" s="4">
        <f t="shared" si="8"/>
        <v>4.2362539238205613E-2</v>
      </c>
    </row>
    <row r="21" spans="1:13" x14ac:dyDescent="0.4">
      <c r="A21" s="1">
        <f t="shared" si="0"/>
        <v>0.95000000000000029</v>
      </c>
      <c r="B21" s="1">
        <f t="shared" si="11"/>
        <v>0.19073000000000001</v>
      </c>
      <c r="C21" s="1">
        <f t="shared" si="12"/>
        <v>1.0319999999999999E-2</v>
      </c>
      <c r="D21" s="1">
        <f t="shared" si="10"/>
        <v>0</v>
      </c>
      <c r="E21" s="1">
        <f t="shared" si="9"/>
        <v>0</v>
      </c>
      <c r="F21" s="1">
        <f t="shared" si="1"/>
        <v>0.100525</v>
      </c>
      <c r="G21" s="4">
        <f t="shared" si="2"/>
        <v>1.2565995681549071</v>
      </c>
      <c r="H21" s="4">
        <f t="shared" si="3"/>
        <v>1.1438566552901026</v>
      </c>
      <c r="I21" s="3">
        <f t="shared" si="4"/>
        <v>65.538158716073525</v>
      </c>
      <c r="J21" s="2">
        <f t="shared" si="5"/>
        <v>0.44247319633442728</v>
      </c>
      <c r="K21" s="2">
        <f t="shared" si="6"/>
        <v>0.89678172958953362</v>
      </c>
      <c r="L21" s="4">
        <f t="shared" si="7"/>
        <v>7.258143066711692E-2</v>
      </c>
      <c r="M21" s="4">
        <f t="shared" si="8"/>
        <v>4.6869988406555006E-2</v>
      </c>
    </row>
    <row r="22" spans="1:13" x14ac:dyDescent="0.4">
      <c r="A22" s="1">
        <f t="shared" si="0"/>
        <v>1.0000000000000002</v>
      </c>
      <c r="B22" s="1">
        <f t="shared" si="11"/>
        <v>0.19073000000000001</v>
      </c>
      <c r="C22" s="1">
        <f t="shared" si="12"/>
        <v>1.0319999999999999E-2</v>
      </c>
      <c r="D22" s="1">
        <f t="shared" si="10"/>
        <v>0</v>
      </c>
      <c r="E22" s="1">
        <f t="shared" si="9"/>
        <v>0</v>
      </c>
      <c r="F22" s="1">
        <f t="shared" si="1"/>
        <v>0.100525</v>
      </c>
      <c r="G22" s="4">
        <f t="shared" si="2"/>
        <v>1.2565995681549071</v>
      </c>
      <c r="H22" s="4">
        <f t="shared" si="3"/>
        <v>1.2066866336978479</v>
      </c>
      <c r="I22" s="3">
        <f t="shared" si="4"/>
        <v>69.138051305735431</v>
      </c>
      <c r="J22" s="2">
        <f t="shared" si="5"/>
        <v>0.38529241577994411</v>
      </c>
      <c r="K22" s="2">
        <f t="shared" si="6"/>
        <v>0.9227945352799044</v>
      </c>
      <c r="L22" s="4">
        <f t="shared" si="7"/>
        <v>7.451800667193087E-2</v>
      </c>
      <c r="M22" s="4">
        <f t="shared" si="8"/>
        <v>5.1508184439505625E-2</v>
      </c>
    </row>
    <row r="23" spans="1:13" x14ac:dyDescent="0.4">
      <c r="A23" s="1">
        <f t="shared" si="0"/>
        <v>1.0500000000000003</v>
      </c>
      <c r="B23" s="1">
        <f t="shared" si="11"/>
        <v>0.19073000000000001</v>
      </c>
      <c r="C23" s="1">
        <f t="shared" si="12"/>
        <v>1.0319999999999999E-2</v>
      </c>
      <c r="D23" s="1">
        <f t="shared" si="10"/>
        <v>0</v>
      </c>
      <c r="E23" s="1">
        <f t="shared" si="9"/>
        <v>0</v>
      </c>
      <c r="F23" s="1">
        <f t="shared" si="1"/>
        <v>0.100525</v>
      </c>
      <c r="G23" s="4">
        <f t="shared" si="2"/>
        <v>1.2565995681549071</v>
      </c>
      <c r="H23" s="4">
        <f t="shared" si="3"/>
        <v>1.2695166121055932</v>
      </c>
      <c r="I23" s="3">
        <f t="shared" si="4"/>
        <v>72.737943895397322</v>
      </c>
      <c r="J23" s="2">
        <f t="shared" si="5"/>
        <v>0.3265911527887983</v>
      </c>
      <c r="K23" s="2">
        <f t="shared" si="6"/>
        <v>0.94516570976738457</v>
      </c>
      <c r="L23" s="4">
        <f t="shared" si="7"/>
        <v>7.6159535453635574E-2</v>
      </c>
      <c r="M23" s="4">
        <f t="shared" si="8"/>
        <v>5.6258823588223941E-2</v>
      </c>
    </row>
    <row r="24" spans="1:13" x14ac:dyDescent="0.4">
      <c r="A24" s="1">
        <f t="shared" si="0"/>
        <v>1.1000000000000003</v>
      </c>
      <c r="B24" s="1">
        <f t="shared" si="11"/>
        <v>0.19073000000000001</v>
      </c>
      <c r="C24" s="1">
        <f t="shared" si="12"/>
        <v>1.0319999999999999E-2</v>
      </c>
      <c r="D24" s="1">
        <f t="shared" si="10"/>
        <v>0</v>
      </c>
      <c r="E24" s="1">
        <f t="shared" si="9"/>
        <v>0</v>
      </c>
      <c r="F24" s="1">
        <f t="shared" si="1"/>
        <v>0.100525</v>
      </c>
      <c r="G24" s="4">
        <f t="shared" si="2"/>
        <v>1.2565995681549071</v>
      </c>
      <c r="H24" s="4">
        <f t="shared" si="3"/>
        <v>1.3323465905133385</v>
      </c>
      <c r="I24" s="3">
        <f t="shared" si="4"/>
        <v>76.337836485059213</v>
      </c>
      <c r="J24" s="2">
        <f t="shared" si="5"/>
        <v>0.26660106060858174</v>
      </c>
      <c r="K24" s="2">
        <f t="shared" si="6"/>
        <v>0.96380696951328348</v>
      </c>
      <c r="L24" s="4">
        <f t="shared" si="7"/>
        <v>7.7499539034519463E-2</v>
      </c>
      <c r="M24" s="4">
        <f t="shared" si="8"/>
        <v>6.1103158368740085E-2</v>
      </c>
    </row>
    <row r="25" spans="1:13" x14ac:dyDescent="0.4">
      <c r="A25" s="1">
        <f t="shared" si="0"/>
        <v>1.1500000000000004</v>
      </c>
      <c r="B25" s="1">
        <f t="shared" si="11"/>
        <v>0.19073000000000001</v>
      </c>
      <c r="C25" s="1">
        <f t="shared" si="12"/>
        <v>1.0319999999999999E-2</v>
      </c>
      <c r="D25" s="1">
        <f t="shared" si="10"/>
        <v>0</v>
      </c>
      <c r="E25" s="1">
        <f t="shared" si="9"/>
        <v>0</v>
      </c>
      <c r="F25" s="1">
        <f t="shared" si="1"/>
        <v>0.100525</v>
      </c>
      <c r="G25" s="4">
        <f t="shared" si="2"/>
        <v>1.2565995681549071</v>
      </c>
      <c r="H25" s="4">
        <f t="shared" si="3"/>
        <v>1.3951765689210838</v>
      </c>
      <c r="I25" s="3">
        <f t="shared" si="4"/>
        <v>79.937729074721119</v>
      </c>
      <c r="J25" s="2">
        <f t="shared" si="5"/>
        <v>0.205558878603471</v>
      </c>
      <c r="K25" s="2">
        <f t="shared" si="6"/>
        <v>0.97864475037026766</v>
      </c>
      <c r="L25" s="4">
        <f t="shared" si="7"/>
        <v>7.8532729348100155E-2</v>
      </c>
      <c r="M25" s="4">
        <f t="shared" si="8"/>
        <v>6.6022071545288649E-2</v>
      </c>
    </row>
    <row r="26" spans="1:13" x14ac:dyDescent="0.4">
      <c r="A26" s="1">
        <f t="shared" si="0"/>
        <v>1.2000000000000004</v>
      </c>
      <c r="B26" s="1">
        <f t="shared" si="11"/>
        <v>0.19073000000000001</v>
      </c>
      <c r="C26" s="1">
        <f t="shared" si="12"/>
        <v>1.0319999999999999E-2</v>
      </c>
      <c r="D26" s="1">
        <f t="shared" si="10"/>
        <v>0</v>
      </c>
      <c r="E26" s="1">
        <f t="shared" si="9"/>
        <v>0</v>
      </c>
      <c r="F26" s="1">
        <f t="shared" si="1"/>
        <v>0.100525</v>
      </c>
      <c r="G26" s="4">
        <f t="shared" si="2"/>
        <v>1.2565995681549071</v>
      </c>
      <c r="H26" s="4">
        <f t="shared" si="3"/>
        <v>1.4580065473288291</v>
      </c>
      <c r="I26" s="3">
        <f t="shared" si="4"/>
        <v>83.537621664383025</v>
      </c>
      <c r="J26" s="2">
        <f t="shared" si="5"/>
        <v>0.14370549800784571</v>
      </c>
      <c r="K26" s="2">
        <f t="shared" si="6"/>
        <v>0.98962049788912365</v>
      </c>
      <c r="L26" s="4">
        <f t="shared" si="7"/>
        <v>7.9255029107462086E-2</v>
      </c>
      <c r="M26" s="4">
        <f t="shared" si="8"/>
        <v>7.0996151572803853E-2</v>
      </c>
    </row>
    <row r="27" spans="1:13" x14ac:dyDescent="0.4">
      <c r="A27" s="1">
        <f t="shared" si="0"/>
        <v>1.2500000000000004</v>
      </c>
      <c r="B27" s="1">
        <f t="shared" si="11"/>
        <v>0.19073000000000001</v>
      </c>
      <c r="C27" s="1">
        <f t="shared" si="12"/>
        <v>1.0319999999999999E-2</v>
      </c>
      <c r="D27" s="1">
        <v>0</v>
      </c>
      <c r="E27" s="1">
        <f t="shared" si="9"/>
        <v>0</v>
      </c>
      <c r="F27" s="1">
        <f t="shared" si="1"/>
        <v>0.100525</v>
      </c>
      <c r="G27" s="4">
        <f t="shared" si="2"/>
        <v>1.2565995681549071</v>
      </c>
      <c r="H27" s="4">
        <f t="shared" si="3"/>
        <v>1.5208365257365744</v>
      </c>
      <c r="I27" s="3">
        <f t="shared" si="4"/>
        <v>87.137514254044916</v>
      </c>
      <c r="J27" s="2">
        <f t="shared" si="5"/>
        <v>8.1285011295349485E-2</v>
      </c>
      <c r="K27" s="2">
        <f t="shared" si="6"/>
        <v>0.99669089839263347</v>
      </c>
      <c r="L27" s="4">
        <f t="shared" si="7"/>
        <v>7.9663587895485333E-2</v>
      </c>
      <c r="M27" s="4">
        <f t="shared" si="8"/>
        <v>7.6005769200849824E-2</v>
      </c>
    </row>
    <row r="28" spans="1:13" x14ac:dyDescent="0.4">
      <c r="A28" s="1">
        <f t="shared" si="0"/>
        <v>1.3000000000000005</v>
      </c>
      <c r="B28" s="1">
        <f t="shared" si="11"/>
        <v>0.19073000000000001</v>
      </c>
      <c r="C28" s="1">
        <f t="shared" si="12"/>
        <v>1.0319999999999999E-2</v>
      </c>
      <c r="D28" s="1">
        <f t="shared" si="10"/>
        <v>0</v>
      </c>
      <c r="E28" s="1">
        <f t="shared" si="9"/>
        <v>0</v>
      </c>
      <c r="F28" s="1">
        <f t="shared" si="1"/>
        <v>0.100525</v>
      </c>
      <c r="G28" s="4">
        <f t="shared" si="2"/>
        <v>1.2565995681549071</v>
      </c>
      <c r="H28" s="4">
        <f t="shared" si="3"/>
        <v>1.5836665041443196</v>
      </c>
      <c r="I28" s="3">
        <f t="shared" si="4"/>
        <v>90.737406843706808</v>
      </c>
      <c r="J28" s="2">
        <f t="shared" si="5"/>
        <v>1.8543748914875698E-2</v>
      </c>
      <c r="K28" s="2">
        <f t="shared" si="6"/>
        <v>0.99982804990467333</v>
      </c>
      <c r="L28" s="4">
        <f t="shared" si="7"/>
        <v>7.9756793413468724E-2</v>
      </c>
      <c r="M28" s="4">
        <f t="shared" si="8"/>
        <v>8.1031154936683183E-2</v>
      </c>
    </row>
    <row r="29" spans="1:13" x14ac:dyDescent="0.4">
      <c r="A29" s="1">
        <f t="shared" si="0"/>
        <v>1.3500000000000005</v>
      </c>
      <c r="B29" s="1">
        <f t="shared" si="11"/>
        <v>0.19073000000000001</v>
      </c>
      <c r="C29" s="1">
        <f t="shared" si="12"/>
        <v>1.0319999999999999E-2</v>
      </c>
      <c r="D29" s="1">
        <f t="shared" si="10"/>
        <v>0</v>
      </c>
      <c r="E29" s="1">
        <f t="shared" si="9"/>
        <v>0</v>
      </c>
      <c r="F29" s="1">
        <f t="shared" si="1"/>
        <v>0.100525</v>
      </c>
      <c r="G29" s="4">
        <f t="shared" si="2"/>
        <v>1.2565995681549071</v>
      </c>
      <c r="H29" s="4">
        <f t="shared" si="3"/>
        <v>1.6464964825520649</v>
      </c>
      <c r="I29" s="3">
        <f t="shared" si="4"/>
        <v>94.337299433368699</v>
      </c>
      <c r="J29" s="2">
        <f t="shared" si="5"/>
        <v>-4.4270692805185856E-2</v>
      </c>
      <c r="K29" s="2">
        <f t="shared" si="6"/>
        <v>0.99901957225999771</v>
      </c>
      <c r="L29" s="4">
        <f t="shared" si="7"/>
        <v>7.9534277843756662E-2</v>
      </c>
      <c r="M29" s="4">
        <f t="shared" si="8"/>
        <v>8.6052477061754992E-2</v>
      </c>
    </row>
    <row r="30" spans="1:13" x14ac:dyDescent="0.4">
      <c r="A30" s="1">
        <f t="shared" si="0"/>
        <v>1.4000000000000006</v>
      </c>
      <c r="B30" s="1">
        <f t="shared" si="11"/>
        <v>0.19073000000000001</v>
      </c>
      <c r="C30" s="1">
        <f t="shared" si="12"/>
        <v>1.0319999999999999E-2</v>
      </c>
      <c r="D30" s="1">
        <f t="shared" si="10"/>
        <v>0</v>
      </c>
      <c r="E30" s="1">
        <f t="shared" si="9"/>
        <v>0</v>
      </c>
      <c r="F30" s="1">
        <f t="shared" si="1"/>
        <v>0.100525</v>
      </c>
      <c r="G30" s="4">
        <f t="shared" si="2"/>
        <v>1.2565995681549071</v>
      </c>
      <c r="H30" s="4">
        <f t="shared" si="3"/>
        <v>1.7093264609598102</v>
      </c>
      <c r="I30" s="3">
        <f t="shared" si="4"/>
        <v>97.937192023030619</v>
      </c>
      <c r="J30" s="2">
        <f t="shared" si="5"/>
        <v>-0.10691042874825227</v>
      </c>
      <c r="K30" s="2">
        <f t="shared" si="6"/>
        <v>0.9942686559601811</v>
      </c>
      <c r="L30" s="4">
        <f t="shared" si="7"/>
        <v>7.8996919301260765E-2</v>
      </c>
      <c r="M30" s="4">
        <f t="shared" si="8"/>
        <v>9.1049919893774853E-2</v>
      </c>
    </row>
    <row r="31" spans="1:13" x14ac:dyDescent="0.4">
      <c r="A31" s="1">
        <f t="shared" si="0"/>
        <v>1.4500000000000006</v>
      </c>
      <c r="B31" s="1">
        <f t="shared" si="11"/>
        <v>0.19073000000000001</v>
      </c>
      <c r="C31" s="1">
        <f t="shared" si="12"/>
        <v>1.0319999999999999E-2</v>
      </c>
      <c r="D31" s="1">
        <f t="shared" si="10"/>
        <v>0</v>
      </c>
      <c r="E31" s="1">
        <f t="shared" si="9"/>
        <v>0</v>
      </c>
      <c r="F31" s="1">
        <f t="shared" si="1"/>
        <v>0.100525</v>
      </c>
      <c r="G31" s="4">
        <f t="shared" si="2"/>
        <v>1.2565995681549071</v>
      </c>
      <c r="H31" s="4">
        <f t="shared" si="3"/>
        <v>1.7721564393675555</v>
      </c>
      <c r="I31" s="3">
        <f t="shared" si="4"/>
        <v>101.53708461269251</v>
      </c>
      <c r="J31" s="2">
        <f t="shared" si="5"/>
        <v>-0.16912826324049793</v>
      </c>
      <c r="K31" s="2">
        <f t="shared" si="6"/>
        <v>0.98559404958291674</v>
      </c>
      <c r="L31" s="4">
        <f t="shared" si="7"/>
        <v>7.8146838368148216E-2</v>
      </c>
      <c r="M31" s="4">
        <f t="shared" si="8"/>
        <v>9.6003761985490987E-2</v>
      </c>
    </row>
    <row r="32" spans="1:13" x14ac:dyDescent="0.4">
      <c r="A32" s="1">
        <f t="shared" si="0"/>
        <v>1.5000000000000007</v>
      </c>
      <c r="B32" s="1">
        <f t="shared" si="11"/>
        <v>0.19073000000000001</v>
      </c>
      <c r="C32" s="1">
        <f t="shared" si="12"/>
        <v>1.0319999999999999E-2</v>
      </c>
      <c r="D32" s="1">
        <f t="shared" si="10"/>
        <v>0</v>
      </c>
      <c r="E32" s="1">
        <f t="shared" si="9"/>
        <v>0</v>
      </c>
      <c r="F32" s="1">
        <f t="shared" si="1"/>
        <v>0.100525</v>
      </c>
      <c r="G32" s="4">
        <f t="shared" si="2"/>
        <v>1.2565995681549071</v>
      </c>
      <c r="H32" s="4">
        <f t="shared" si="3"/>
        <v>1.8349864177753008</v>
      </c>
      <c r="I32" s="3">
        <f t="shared" si="4"/>
        <v>105.1369772023544</v>
      </c>
      <c r="J32" s="2">
        <f t="shared" si="5"/>
        <v>-0.23067866556105168</v>
      </c>
      <c r="K32" s="2">
        <f t="shared" si="6"/>
        <v>0.97302998579436006</v>
      </c>
      <c r="L32" s="4">
        <f t="shared" si="7"/>
        <v>7.6987389725371974E-2</v>
      </c>
      <c r="M32" s="4">
        <f t="shared" si="8"/>
        <v>0.10089445395158989</v>
      </c>
    </row>
    <row r="33" spans="1:13" x14ac:dyDescent="0.4">
      <c r="A33" s="1">
        <f t="shared" si="0"/>
        <v>1.5500000000000007</v>
      </c>
      <c r="B33" s="1">
        <f t="shared" si="11"/>
        <v>0.19073000000000001</v>
      </c>
      <c r="C33" s="1">
        <f t="shared" si="12"/>
        <v>1.0319999999999999E-2</v>
      </c>
      <c r="D33" s="1">
        <f t="shared" si="10"/>
        <v>0</v>
      </c>
      <c r="E33" s="1">
        <f t="shared" si="9"/>
        <v>0</v>
      </c>
      <c r="F33" s="1">
        <f t="shared" si="1"/>
        <v>0.100525</v>
      </c>
      <c r="G33" s="4">
        <f t="shared" si="2"/>
        <v>1.2565995681549071</v>
      </c>
      <c r="H33" s="4">
        <f t="shared" si="3"/>
        <v>1.8978163961830461</v>
      </c>
      <c r="I33" s="3">
        <f t="shared" si="4"/>
        <v>108.73686979201629</v>
      </c>
      <c r="J33" s="2">
        <f t="shared" si="5"/>
        <v>-0.29131873888177723</v>
      </c>
      <c r="K33" s="2">
        <f t="shared" si="6"/>
        <v>0.9566260462564935</v>
      </c>
      <c r="L33" s="4">
        <f t="shared" si="7"/>
        <v>7.5523148914067445E-2</v>
      </c>
      <c r="M33" s="4">
        <f t="shared" si="8"/>
        <v>0.10570269561658659</v>
      </c>
    </row>
    <row r="34" spans="1:13" x14ac:dyDescent="0.4">
      <c r="A34" s="1">
        <f t="shared" si="0"/>
        <v>1.6000000000000008</v>
      </c>
      <c r="B34" s="1">
        <f t="shared" si="11"/>
        <v>0.19073000000000001</v>
      </c>
      <c r="C34" s="1">
        <f t="shared" si="12"/>
        <v>1.0319999999999999E-2</v>
      </c>
      <c r="D34" s="1">
        <f t="shared" si="10"/>
        <v>0</v>
      </c>
      <c r="E34" s="1">
        <f t="shared" si="9"/>
        <v>0</v>
      </c>
      <c r="F34" s="1">
        <f t="shared" si="1"/>
        <v>0.100525</v>
      </c>
      <c r="G34" s="4">
        <f t="shared" si="2"/>
        <v>1.2565995681549071</v>
      </c>
      <c r="H34" s="4">
        <f t="shared" si="3"/>
        <v>1.9606463745907914</v>
      </c>
      <c r="I34" s="3">
        <f t="shared" si="4"/>
        <v>112.3367623816782</v>
      </c>
      <c r="J34" s="2">
        <f t="shared" si="5"/>
        <v>-0.3508091788129023</v>
      </c>
      <c r="K34" s="2">
        <f t="shared" si="6"/>
        <v>0.93644696596263111</v>
      </c>
      <c r="L34" s="4">
        <f t="shared" si="7"/>
        <v>7.3759894279059102E-2</v>
      </c>
      <c r="M34" s="4">
        <f t="shared" si="8"/>
        <v>0.11040951217925626</v>
      </c>
    </row>
    <row r="35" spans="1:13" x14ac:dyDescent="0.4">
      <c r="A35" s="1">
        <f t="shared" si="0"/>
        <v>1.6500000000000008</v>
      </c>
      <c r="B35" s="1">
        <f t="shared" si="11"/>
        <v>0.19073000000000001</v>
      </c>
      <c r="C35" s="1">
        <f t="shared" si="12"/>
        <v>1.0319999999999999E-2</v>
      </c>
      <c r="D35" s="1">
        <f t="shared" si="10"/>
        <v>0</v>
      </c>
      <c r="E35" s="1">
        <f t="shared" si="9"/>
        <v>0</v>
      </c>
      <c r="F35" s="1">
        <f t="shared" si="1"/>
        <v>0.100525</v>
      </c>
      <c r="G35" s="4">
        <f t="shared" si="2"/>
        <v>1.2565995681549071</v>
      </c>
      <c r="H35" s="4">
        <f t="shared" si="3"/>
        <v>2.0234763529985367</v>
      </c>
      <c r="I35" s="3">
        <f t="shared" si="4"/>
        <v>115.93665497134009</v>
      </c>
      <c r="J35" s="2">
        <f t="shared" si="5"/>
        <v>-0.40891521777178064</v>
      </c>
      <c r="K35" s="2">
        <f t="shared" si="6"/>
        <v>0.91257237777321376</v>
      </c>
      <c r="L35" s="4">
        <f t="shared" si="7"/>
        <v>7.1704584165733692E-2</v>
      </c>
      <c r="M35" s="4">
        <f t="shared" si="8"/>
        <v>0.11499632909303888</v>
      </c>
    </row>
    <row r="36" spans="1:13" x14ac:dyDescent="0.4">
      <c r="A36" s="1">
        <f t="shared" si="0"/>
        <v>1.7000000000000008</v>
      </c>
      <c r="B36" s="1">
        <f t="shared" si="11"/>
        <v>0.19073000000000001</v>
      </c>
      <c r="C36" s="1">
        <f t="shared" si="12"/>
        <v>1.0319999999999999E-2</v>
      </c>
      <c r="D36" s="1">
        <f t="shared" si="10"/>
        <v>0</v>
      </c>
      <c r="E36" s="1">
        <f t="shared" si="9"/>
        <v>0</v>
      </c>
      <c r="F36" s="1">
        <f t="shared" si="1"/>
        <v>0.100525</v>
      </c>
      <c r="G36" s="4">
        <f t="shared" si="2"/>
        <v>1.2565995681549071</v>
      </c>
      <c r="H36" s="4">
        <f t="shared" si="3"/>
        <v>2.086306331406282</v>
      </c>
      <c r="I36" s="3">
        <f t="shared" si="4"/>
        <v>119.53654756100198</v>
      </c>
      <c r="J36" s="2">
        <f t="shared" si="5"/>
        <v>-0.4654075514480166</v>
      </c>
      <c r="K36" s="2">
        <f t="shared" si="6"/>
        <v>0.88509649816003777</v>
      </c>
      <c r="L36" s="4">
        <f t="shared" si="7"/>
        <v>6.9365329460268105E-2</v>
      </c>
      <c r="M36" s="4">
        <f t="shared" si="8"/>
        <v>0.11944504536691576</v>
      </c>
    </row>
    <row r="37" spans="1:13" x14ac:dyDescent="0.4">
      <c r="A37" s="1">
        <f t="shared" si="0"/>
        <v>1.7500000000000009</v>
      </c>
      <c r="B37" s="1">
        <f t="shared" si="11"/>
        <v>0.19073000000000001</v>
      </c>
      <c r="C37" s="1">
        <f t="shared" si="12"/>
        <v>1.0319999999999999E-2</v>
      </c>
      <c r="D37" s="1">
        <f t="shared" si="10"/>
        <v>0</v>
      </c>
      <c r="E37" s="1">
        <f t="shared" si="9"/>
        <v>0</v>
      </c>
      <c r="F37" s="1">
        <f t="shared" si="1"/>
        <v>0.100525</v>
      </c>
      <c r="G37" s="4">
        <f t="shared" si="2"/>
        <v>1.2565995681549071</v>
      </c>
      <c r="H37" s="4">
        <f t="shared" si="3"/>
        <v>2.1491363098140273</v>
      </c>
      <c r="I37" s="3">
        <f t="shared" si="4"/>
        <v>123.13644015066389</v>
      </c>
      <c r="J37" s="2">
        <f t="shared" si="5"/>
        <v>-0.52006324370883783</v>
      </c>
      <c r="K37" s="2">
        <f t="shared" si="6"/>
        <v>0.85412775539906327</v>
      </c>
      <c r="L37" s="4">
        <f t="shared" si="7"/>
        <v>6.675136158157656E-2</v>
      </c>
      <c r="M37" s="4">
        <f t="shared" si="8"/>
        <v>0.1237381049974903</v>
      </c>
    </row>
    <row r="38" spans="1:13" x14ac:dyDescent="0.4">
      <c r="A38" s="1">
        <f t="shared" si="0"/>
        <v>1.8000000000000009</v>
      </c>
      <c r="B38" s="1">
        <f t="shared" si="11"/>
        <v>0.19073000000000001</v>
      </c>
      <c r="C38" s="1">
        <f t="shared" si="12"/>
        <v>1.0319999999999999E-2</v>
      </c>
      <c r="D38" s="1">
        <f t="shared" si="10"/>
        <v>0</v>
      </c>
      <c r="E38" s="1">
        <f t="shared" si="9"/>
        <v>0</v>
      </c>
      <c r="F38" s="1">
        <f t="shared" si="1"/>
        <v>0.100525</v>
      </c>
      <c r="G38" s="4">
        <f t="shared" si="2"/>
        <v>1.2565995681549071</v>
      </c>
      <c r="H38" s="4">
        <f t="shared" si="3"/>
        <v>2.2119662882217725</v>
      </c>
      <c r="I38" s="3">
        <f t="shared" si="4"/>
        <v>126.73633274032579</v>
      </c>
      <c r="J38" s="2">
        <f t="shared" si="5"/>
        <v>-0.57266660637367495</v>
      </c>
      <c r="K38" s="2">
        <f t="shared" si="6"/>
        <v>0.81978836167907287</v>
      </c>
      <c r="L38" s="4">
        <f t="shared" si="7"/>
        <v>6.3872996051290876E-2</v>
      </c>
      <c r="M38" s="4">
        <f t="shared" si="8"/>
        <v>0.12785856625037975</v>
      </c>
    </row>
    <row r="39" spans="1:13" x14ac:dyDescent="0.4">
      <c r="A39" s="1">
        <f t="shared" si="0"/>
        <v>1.850000000000001</v>
      </c>
      <c r="B39" s="1">
        <f t="shared" si="11"/>
        <v>0.19073000000000001</v>
      </c>
      <c r="C39" s="1">
        <f t="shared" si="12"/>
        <v>1.0319999999999999E-2</v>
      </c>
      <c r="D39" s="1">
        <f t="shared" si="10"/>
        <v>0</v>
      </c>
      <c r="E39" s="1">
        <f t="shared" si="9"/>
        <v>0</v>
      </c>
      <c r="F39" s="1">
        <f t="shared" si="1"/>
        <v>0.100525</v>
      </c>
      <c r="G39" s="4">
        <f t="shared" si="2"/>
        <v>1.2565995681549071</v>
      </c>
      <c r="H39" s="4">
        <f t="shared" si="3"/>
        <v>2.2747962666295178</v>
      </c>
      <c r="I39" s="3">
        <f t="shared" si="4"/>
        <v>130.33622532998768</v>
      </c>
      <c r="J39" s="2">
        <f t="shared" si="5"/>
        <v>-0.6230100503860998</v>
      </c>
      <c r="K39" s="2">
        <f t="shared" si="6"/>
        <v>0.7822138308147647</v>
      </c>
      <c r="L39" s="4">
        <f t="shared" si="7"/>
        <v>6.0741591785537744E-2</v>
      </c>
      <c r="M39" s="4">
        <f t="shared" si="8"/>
        <v>0.13179016851751246</v>
      </c>
    </row>
    <row r="40" spans="1:13" x14ac:dyDescent="0.4">
      <c r="A40" s="1">
        <f t="shared" si="0"/>
        <v>1.900000000000001</v>
      </c>
      <c r="B40" s="1">
        <f t="shared" si="11"/>
        <v>0.19073000000000001</v>
      </c>
      <c r="C40" s="1">
        <f t="shared" si="12"/>
        <v>1.0319999999999999E-2</v>
      </c>
      <c r="D40" s="1">
        <f t="shared" si="10"/>
        <v>0</v>
      </c>
      <c r="E40" s="1">
        <f t="shared" si="9"/>
        <v>0</v>
      </c>
      <c r="F40" s="1">
        <f t="shared" si="1"/>
        <v>0.100525</v>
      </c>
      <c r="G40" s="4">
        <f t="shared" si="2"/>
        <v>1.2565995681549071</v>
      </c>
      <c r="H40" s="4">
        <f t="shared" si="3"/>
        <v>2.3376262450372631</v>
      </c>
      <c r="I40" s="3">
        <f t="shared" si="4"/>
        <v>133.93611791964958</v>
      </c>
      <c r="J40" s="2">
        <f t="shared" si="5"/>
        <v>-0.67089490502411653</v>
      </c>
      <c r="K40" s="2">
        <f t="shared" si="6"/>
        <v>0.74155244346754179</v>
      </c>
      <c r="L40" s="4">
        <f t="shared" si="7"/>
        <v>5.7369506269160278E-2</v>
      </c>
      <c r="M40" s="4">
        <f t="shared" si="8"/>
        <v>0.13551739648649119</v>
      </c>
    </row>
    <row r="41" spans="1:13" x14ac:dyDescent="0.4">
      <c r="A41" s="1">
        <f t="shared" si="0"/>
        <v>1.9500000000000011</v>
      </c>
      <c r="B41" s="1">
        <f t="shared" si="11"/>
        <v>0.19073000000000001</v>
      </c>
      <c r="C41" s="1">
        <f t="shared" si="12"/>
        <v>1.0319999999999999E-2</v>
      </c>
      <c r="D41" s="1">
        <f t="shared" si="10"/>
        <v>0</v>
      </c>
      <c r="E41" s="1">
        <f t="shared" si="9"/>
        <v>0</v>
      </c>
      <c r="F41" s="1">
        <f t="shared" si="1"/>
        <v>0.100525</v>
      </c>
      <c r="G41" s="4">
        <f t="shared" si="2"/>
        <v>1.2565995681549071</v>
      </c>
      <c r="H41" s="4">
        <f t="shared" si="3"/>
        <v>2.4004562234450084</v>
      </c>
      <c r="I41" s="3">
        <f t="shared" si="4"/>
        <v>137.53601050931147</v>
      </c>
      <c r="J41" s="2">
        <f t="shared" si="5"/>
        <v>-0.71613220191597204</v>
      </c>
      <c r="K41" s="2">
        <f t="shared" si="6"/>
        <v>0.69796466198438833</v>
      </c>
      <c r="L41" s="4">
        <f t="shared" si="7"/>
        <v>5.3770046789280122E-2</v>
      </c>
      <c r="M41" s="4">
        <f t="shared" si="8"/>
        <v>0.13902554136879022</v>
      </c>
    </row>
    <row r="42" spans="1:13" x14ac:dyDescent="0.4">
      <c r="A42" s="1">
        <f t="shared" si="0"/>
        <v>2.0000000000000009</v>
      </c>
      <c r="B42" s="1">
        <f t="shared" si="11"/>
        <v>0.19073000000000001</v>
      </c>
      <c r="C42" s="1">
        <f t="shared" si="12"/>
        <v>1.0319999999999999E-2</v>
      </c>
      <c r="D42" s="1">
        <f t="shared" si="10"/>
        <v>0</v>
      </c>
      <c r="E42" s="1">
        <f t="shared" si="9"/>
        <v>0</v>
      </c>
      <c r="F42" s="1">
        <f t="shared" si="1"/>
        <v>0.100525</v>
      </c>
      <c r="G42" s="4">
        <f t="shared" si="2"/>
        <v>1.2565995681549071</v>
      </c>
      <c r="H42" s="4">
        <f t="shared" si="3"/>
        <v>2.4632862018527537</v>
      </c>
      <c r="I42" s="3">
        <f t="shared" si="4"/>
        <v>141.13590309897336</v>
      </c>
      <c r="J42" s="2">
        <f t="shared" si="5"/>
        <v>-0.75854342076749592</v>
      </c>
      <c r="K42" s="2">
        <f t="shared" si="6"/>
        <v>0.65162249716407561</v>
      </c>
      <c r="L42" s="4">
        <f t="shared" si="7"/>
        <v>4.9957417920647493E-2</v>
      </c>
      <c r="M42" s="4">
        <f t="shared" si="8"/>
        <v>0.14230075894516117</v>
      </c>
    </row>
    <row r="43" spans="1:13" x14ac:dyDescent="0.4">
      <c r="A43" s="1">
        <f t="shared" si="0"/>
        <v>2.0500000000000007</v>
      </c>
      <c r="B43" s="1">
        <f t="shared" si="11"/>
        <v>0.19073000000000001</v>
      </c>
      <c r="C43" s="1">
        <f t="shared" si="12"/>
        <v>1.0319999999999999E-2</v>
      </c>
      <c r="D43" s="1">
        <f t="shared" si="10"/>
        <v>0</v>
      </c>
      <c r="E43" s="1">
        <f t="shared" si="9"/>
        <v>0</v>
      </c>
      <c r="F43" s="1">
        <f t="shared" si="1"/>
        <v>0.100525</v>
      </c>
      <c r="G43" s="4">
        <f t="shared" si="2"/>
        <v>1.2565995681549071</v>
      </c>
      <c r="H43" s="4">
        <f t="shared" si="3"/>
        <v>2.526116180260499</v>
      </c>
      <c r="I43" s="3">
        <f t="shared" si="4"/>
        <v>144.73579568863528</v>
      </c>
      <c r="J43" s="2">
        <f t="shared" si="5"/>
        <v>-0.79796119385812148</v>
      </c>
      <c r="K43" s="2">
        <f t="shared" si="6"/>
        <v>0.60270882944961202</v>
      </c>
      <c r="L43" s="4">
        <f t="shared" si="7"/>
        <v>4.5946665470018112E-2</v>
      </c>
      <c r="M43" s="4">
        <f t="shared" si="8"/>
        <v>0.14533012419918229</v>
      </c>
    </row>
    <row r="44" spans="1:13" x14ac:dyDescent="0.4">
      <c r="A44" s="1">
        <f t="shared" si="0"/>
        <v>2.1000000000000005</v>
      </c>
      <c r="B44" s="1">
        <f t="shared" si="11"/>
        <v>0.19073000000000001</v>
      </c>
      <c r="C44" s="1">
        <f t="shared" si="12"/>
        <v>1.0319999999999999E-2</v>
      </c>
      <c r="D44" s="1">
        <f t="shared" si="10"/>
        <v>0</v>
      </c>
      <c r="E44" s="1">
        <f t="shared" si="9"/>
        <v>0</v>
      </c>
      <c r="F44" s="1">
        <f t="shared" si="1"/>
        <v>0.100525</v>
      </c>
      <c r="G44" s="4">
        <f t="shared" si="2"/>
        <v>1.2565995681549071</v>
      </c>
      <c r="H44" s="4">
        <f t="shared" si="3"/>
        <v>2.5889461586682443</v>
      </c>
      <c r="I44" s="3">
        <f t="shared" si="4"/>
        <v>148.33568827829717</v>
      </c>
      <c r="J44" s="2">
        <f t="shared" si="5"/>
        <v>-0.83422996652540948</v>
      </c>
      <c r="K44" s="2">
        <f t="shared" si="6"/>
        <v>0.55141668722574422</v>
      </c>
      <c r="L44" s="4">
        <f t="shared" si="7"/>
        <v>4.1753617100769774E-2</v>
      </c>
      <c r="M44" s="4">
        <f t="shared" si="8"/>
        <v>0.14810168232335069</v>
      </c>
    </row>
    <row r="45" spans="1:13" x14ac:dyDescent="0.4">
      <c r="A45" s="1">
        <f t="shared" si="0"/>
        <v>2.1500000000000004</v>
      </c>
      <c r="B45" s="1">
        <f t="shared" si="11"/>
        <v>0.19073000000000001</v>
      </c>
      <c r="C45" s="1">
        <f t="shared" si="12"/>
        <v>1.0319999999999999E-2</v>
      </c>
      <c r="D45" s="1">
        <f t="shared" si="10"/>
        <v>0</v>
      </c>
      <c r="E45" s="1">
        <f t="shared" si="9"/>
        <v>0</v>
      </c>
      <c r="F45" s="1">
        <f t="shared" si="1"/>
        <v>0.100525</v>
      </c>
      <c r="G45" s="4">
        <f t="shared" si="2"/>
        <v>1.2565995681549071</v>
      </c>
      <c r="H45" s="4">
        <f t="shared" si="3"/>
        <v>2.6517761370759896</v>
      </c>
      <c r="I45" s="3">
        <f t="shared" si="4"/>
        <v>151.93558086795906</v>
      </c>
      <c r="J45" s="2">
        <f t="shared" si="5"/>
        <v>-0.86720661103161834</v>
      </c>
      <c r="K45" s="2">
        <f t="shared" si="6"/>
        <v>0.49794848506954553</v>
      </c>
      <c r="L45" s="4">
        <f t="shared" si="7"/>
        <v>3.7394819872072105E-2</v>
      </c>
      <c r="M45" s="4">
        <f t="shared" si="8"/>
        <v>0.15060449589643149</v>
      </c>
    </row>
    <row r="46" spans="1:13" x14ac:dyDescent="0.4">
      <c r="A46" s="1">
        <f t="shared" si="0"/>
        <v>2.2000000000000002</v>
      </c>
      <c r="B46" s="1">
        <f t="shared" si="11"/>
        <v>0.19073000000000001</v>
      </c>
      <c r="C46" s="1">
        <f t="shared" si="12"/>
        <v>1.0319999999999999E-2</v>
      </c>
      <c r="D46" s="1">
        <f t="shared" si="10"/>
        <v>0</v>
      </c>
      <c r="E46" s="1">
        <f t="shared" si="9"/>
        <v>0</v>
      </c>
      <c r="F46" s="1">
        <f t="shared" si="1"/>
        <v>0.100525</v>
      </c>
      <c r="G46" s="4">
        <f t="shared" si="2"/>
        <v>1.2565995681549071</v>
      </c>
      <c r="H46" s="4">
        <f t="shared" si="3"/>
        <v>2.7146061154837349</v>
      </c>
      <c r="I46" s="3">
        <f t="shared" si="4"/>
        <v>155.53547345762095</v>
      </c>
      <c r="J46" s="2">
        <f t="shared" si="5"/>
        <v>-0.89676099138979748</v>
      </c>
      <c r="K46" s="2">
        <f t="shared" si="6"/>
        <v>0.44251522496021256</v>
      </c>
      <c r="L46" s="4">
        <f t="shared" si="7"/>
        <v>3.2887474939099132E-2</v>
      </c>
      <c r="M46" s="4">
        <f t="shared" si="8"/>
        <v>0.15282868804588776</v>
      </c>
    </row>
    <row r="47" spans="1:13" x14ac:dyDescent="0.4">
      <c r="A47" s="1">
        <f t="shared" si="0"/>
        <v>2.25</v>
      </c>
      <c r="B47" s="1">
        <f t="shared" si="11"/>
        <v>0.19073000000000001</v>
      </c>
      <c r="C47" s="1">
        <f t="shared" si="12"/>
        <v>1.0319999999999999E-2</v>
      </c>
      <c r="D47" s="1">
        <f t="shared" si="10"/>
        <v>0</v>
      </c>
      <c r="E47" s="1">
        <f t="shared" si="9"/>
        <v>0</v>
      </c>
      <c r="F47" s="1">
        <f t="shared" si="1"/>
        <v>0.100525</v>
      </c>
      <c r="G47" s="4">
        <f t="shared" si="2"/>
        <v>1.2565995681549071</v>
      </c>
      <c r="H47" s="4">
        <f t="shared" si="3"/>
        <v>2.7774360938914802</v>
      </c>
      <c r="I47" s="3">
        <f t="shared" si="4"/>
        <v>159.13536604728284</v>
      </c>
      <c r="J47" s="2">
        <f t="shared" si="5"/>
        <v>-0.9227764769204414</v>
      </c>
      <c r="K47" s="2">
        <f t="shared" si="6"/>
        <v>0.38533566360031873</v>
      </c>
      <c r="L47" s="4">
        <f t="shared" si="7"/>
        <v>2.8249369671977761E-2</v>
      </c>
      <c r="M47" s="4">
        <f t="shared" si="8"/>
        <v>0.15476548142505886</v>
      </c>
    </row>
    <row r="48" spans="1:13" x14ac:dyDescent="0.4">
      <c r="A48" s="1">
        <f t="shared" si="0"/>
        <v>2.2999999999999998</v>
      </c>
      <c r="B48" s="1">
        <f t="shared" si="11"/>
        <v>0.19073000000000001</v>
      </c>
      <c r="C48" s="1">
        <f t="shared" si="12"/>
        <v>1.0319999999999999E-2</v>
      </c>
      <c r="D48" s="1">
        <f t="shared" si="10"/>
        <v>0</v>
      </c>
      <c r="E48" s="1">
        <f t="shared" si="9"/>
        <v>0</v>
      </c>
      <c r="F48" s="1">
        <f t="shared" si="1"/>
        <v>0.100525</v>
      </c>
      <c r="G48" s="4">
        <f t="shared" si="2"/>
        <v>1.2565995681549071</v>
      </c>
      <c r="H48" s="4">
        <f t="shared" si="3"/>
        <v>2.8402660722992255</v>
      </c>
      <c r="I48" s="3">
        <f t="shared" si="4"/>
        <v>162.73525863694476</v>
      </c>
      <c r="J48" s="2">
        <f t="shared" si="5"/>
        <v>-0.94515040251203786</v>
      </c>
      <c r="K48" s="2">
        <f t="shared" si="6"/>
        <v>0.3266354491345555</v>
      </c>
      <c r="L48" s="4">
        <f t="shared" si="7"/>
        <v>2.3498807461351631E-2</v>
      </c>
      <c r="M48" s="4">
        <f t="shared" si="8"/>
        <v>0.15640723285127142</v>
      </c>
    </row>
    <row r="49" spans="1:13" x14ac:dyDescent="0.4">
      <c r="A49" s="1">
        <f t="shared" si="0"/>
        <v>2.3499999999999996</v>
      </c>
      <c r="B49" s="1">
        <f t="shared" si="11"/>
        <v>0.19073000000000001</v>
      </c>
      <c r="C49" s="1">
        <f t="shared" si="12"/>
        <v>1.0319999999999999E-2</v>
      </c>
      <c r="D49" s="1">
        <f t="shared" si="10"/>
        <v>0</v>
      </c>
      <c r="E49" s="1">
        <f t="shared" si="9"/>
        <v>0</v>
      </c>
      <c r="F49" s="1">
        <f t="shared" si="1"/>
        <v>0.100525</v>
      </c>
      <c r="G49" s="4">
        <f t="shared" si="2"/>
        <v>1.2565995681549071</v>
      </c>
      <c r="H49" s="4">
        <f t="shared" si="3"/>
        <v>2.9030960507069707</v>
      </c>
      <c r="I49" s="3">
        <f t="shared" si="4"/>
        <v>166.33515122660665</v>
      </c>
      <c r="J49" s="2">
        <f t="shared" si="5"/>
        <v>-0.96379447376919336</v>
      </c>
      <c r="K49" s="2">
        <f t="shared" si="6"/>
        <v>0.26664623067270926</v>
      </c>
      <c r="L49" s="4">
        <f t="shared" si="7"/>
        <v>1.8654535487569221E-2</v>
      </c>
      <c r="M49" s="4">
        <f t="shared" si="8"/>
        <v>0.15774746346819013</v>
      </c>
    </row>
    <row r="50" spans="1:13" x14ac:dyDescent="0.4">
      <c r="A50" s="1">
        <f t="shared" si="0"/>
        <v>2.3999999999999995</v>
      </c>
      <c r="B50" s="1">
        <f t="shared" si="11"/>
        <v>0.19073000000000001</v>
      </c>
      <c r="C50" s="1">
        <f t="shared" si="12"/>
        <v>1.0319999999999999E-2</v>
      </c>
      <c r="D50" s="1">
        <f t="shared" si="10"/>
        <v>0</v>
      </c>
      <c r="E50" s="1">
        <f t="shared" si="9"/>
        <v>0</v>
      </c>
      <c r="F50" s="1">
        <f t="shared" si="1"/>
        <v>0.100525</v>
      </c>
      <c r="G50" s="4">
        <f t="shared" si="2"/>
        <v>1.2565995681549071</v>
      </c>
      <c r="H50" s="4">
        <f t="shared" si="3"/>
        <v>2.965926029114716</v>
      </c>
      <c r="I50" s="3">
        <f t="shared" si="4"/>
        <v>169.93504381626855</v>
      </c>
      <c r="J50" s="2">
        <f t="shared" si="5"/>
        <v>-0.97863511544948523</v>
      </c>
      <c r="K50" s="2">
        <f t="shared" si="6"/>
        <v>0.20560474413099669</v>
      </c>
      <c r="L50" s="4">
        <f t="shared" si="7"/>
        <v>1.3735670738541246E-2</v>
      </c>
      <c r="M50" s="4">
        <f t="shared" si="8"/>
        <v>0.15878088431337856</v>
      </c>
    </row>
    <row r="51" spans="1:13" x14ac:dyDescent="0.4">
      <c r="A51" s="1">
        <f t="shared" si="0"/>
        <v>2.4499999999999993</v>
      </c>
      <c r="B51" s="1">
        <f t="shared" si="11"/>
        <v>0.19073000000000001</v>
      </c>
      <c r="C51" s="1">
        <f t="shared" si="12"/>
        <v>1.0319999999999999E-2</v>
      </c>
      <c r="D51" s="1">
        <f t="shared" si="10"/>
        <v>0</v>
      </c>
      <c r="E51" s="1">
        <f t="shared" si="9"/>
        <v>0</v>
      </c>
      <c r="F51" s="1">
        <f t="shared" si="1"/>
        <v>0.100525</v>
      </c>
      <c r="G51" s="4">
        <f t="shared" si="2"/>
        <v>1.2565995681549071</v>
      </c>
      <c r="H51" s="4">
        <f t="shared" si="3"/>
        <v>3.0287560075224613</v>
      </c>
      <c r="I51" s="3">
        <f t="shared" si="4"/>
        <v>173.53493640593047</v>
      </c>
      <c r="J51" s="2">
        <f t="shared" si="5"/>
        <v>-0.98961376181401162</v>
      </c>
      <c r="K51" s="2">
        <f t="shared" si="6"/>
        <v>0.1437518779992831</v>
      </c>
      <c r="L51" s="4">
        <f t="shared" si="7"/>
        <v>8.7616245682235697E-3</v>
      </c>
      <c r="M51" s="4">
        <f t="shared" si="8"/>
        <v>0.15950341719017244</v>
      </c>
    </row>
    <row r="52" spans="1:13" x14ac:dyDescent="0.4">
      <c r="A52" s="1">
        <f t="shared" si="0"/>
        <v>2.4999999999999991</v>
      </c>
      <c r="B52" s="1">
        <f t="shared" si="11"/>
        <v>0.19073000000000001</v>
      </c>
      <c r="C52" s="1">
        <f t="shared" si="12"/>
        <v>1.0319999999999999E-2</v>
      </c>
      <c r="D52" s="1">
        <f t="shared" si="10"/>
        <v>0</v>
      </c>
      <c r="E52" s="1">
        <f t="shared" si="9"/>
        <v>0</v>
      </c>
      <c r="F52" s="1">
        <f t="shared" si="1"/>
        <v>0.100525</v>
      </c>
      <c r="G52" s="4">
        <f t="shared" si="2"/>
        <v>1.2565995681549071</v>
      </c>
      <c r="H52" s="4">
        <f t="shared" si="3"/>
        <v>3.0915859859302066</v>
      </c>
      <c r="I52" s="3">
        <f t="shared" si="4"/>
        <v>177.13482899559233</v>
      </c>
      <c r="J52" s="2">
        <f t="shared" si="5"/>
        <v>-0.99668708774581682</v>
      </c>
      <c r="K52" s="2">
        <f t="shared" si="6"/>
        <v>8.1331722720981006E-2</v>
      </c>
      <c r="L52" s="4">
        <f t="shared" si="7"/>
        <v>3.7520260934411579E-3</v>
      </c>
      <c r="M52" s="4">
        <f t="shared" si="8"/>
        <v>0.15991221076149878</v>
      </c>
    </row>
    <row r="53" spans="1:13" x14ac:dyDescent="0.4">
      <c r="A53" s="1">
        <f t="shared" si="0"/>
        <v>2.5499999999999989</v>
      </c>
      <c r="B53" s="1">
        <f t="shared" si="11"/>
        <v>0.19073000000000001</v>
      </c>
      <c r="C53" s="1">
        <f t="shared" si="12"/>
        <v>1.0319999999999999E-2</v>
      </c>
      <c r="D53" s="1">
        <f t="shared" si="10"/>
        <v>0</v>
      </c>
      <c r="E53" s="1">
        <f t="shared" si="9"/>
        <v>0</v>
      </c>
      <c r="F53" s="1">
        <f t="shared" si="1"/>
        <v>0.100525</v>
      </c>
      <c r="G53" s="4">
        <f t="shared" si="2"/>
        <v>1.2565995681549071</v>
      </c>
      <c r="H53" s="4">
        <f t="shared" si="3"/>
        <v>3.1544159643379519</v>
      </c>
      <c r="I53" s="3">
        <f t="shared" si="4"/>
        <v>180.73472158525425</v>
      </c>
      <c r="J53" s="2">
        <f t="shared" si="5"/>
        <v>-0.99982717972413704</v>
      </c>
      <c r="K53" s="2">
        <f t="shared" si="6"/>
        <v>1.8590607437040652E-2</v>
      </c>
      <c r="L53" s="4">
        <f t="shared" si="7"/>
        <v>-1.2733552686472862E-3</v>
      </c>
      <c r="M53" s="4">
        <f t="shared" si="8"/>
        <v>0.1600056518021292</v>
      </c>
    </row>
    <row r="54" spans="1:13" x14ac:dyDescent="0.4">
      <c r="A54" s="1">
        <f t="shared" si="0"/>
        <v>2.5999999999999988</v>
      </c>
      <c r="B54" s="1">
        <f t="shared" si="11"/>
        <v>0.19073000000000001</v>
      </c>
      <c r="C54" s="1">
        <f t="shared" si="12"/>
        <v>1.0319999999999999E-2</v>
      </c>
      <c r="D54" s="1">
        <f t="shared" si="10"/>
        <v>0</v>
      </c>
      <c r="E54" s="1">
        <f t="shared" si="9"/>
        <v>0</v>
      </c>
      <c r="F54" s="1">
        <f t="shared" si="1"/>
        <v>0.100525</v>
      </c>
      <c r="G54" s="4">
        <f t="shared" si="2"/>
        <v>1.2565995681549071</v>
      </c>
      <c r="H54" s="4">
        <f t="shared" si="3"/>
        <v>3.2172459427456972</v>
      </c>
      <c r="I54" s="3">
        <f t="shared" si="4"/>
        <v>184.33461417491617</v>
      </c>
      <c r="J54" s="2">
        <f t="shared" si="5"/>
        <v>-0.99902164597974197</v>
      </c>
      <c r="K54" s="2">
        <f t="shared" si="6"/>
        <v>-4.4223872104634569E-2</v>
      </c>
      <c r="L54" s="4">
        <f t="shared" si="7"/>
        <v>-6.2946878167529649E-3</v>
      </c>
      <c r="M54" s="4">
        <f t="shared" si="8"/>
        <v>0.15978337156496328</v>
      </c>
    </row>
    <row r="55" spans="1:13" x14ac:dyDescent="0.4">
      <c r="A55" s="1">
        <f t="shared" si="0"/>
        <v>2.6499999999999986</v>
      </c>
      <c r="B55" s="1">
        <f t="shared" si="11"/>
        <v>0.19073000000000001</v>
      </c>
      <c r="C55" s="1">
        <f t="shared" si="12"/>
        <v>1.0319999999999999E-2</v>
      </c>
      <c r="D55" s="1">
        <f t="shared" si="10"/>
        <v>0</v>
      </c>
      <c r="E55" s="1">
        <f t="shared" si="9"/>
        <v>0</v>
      </c>
      <c r="F55" s="1">
        <f t="shared" si="1"/>
        <v>0.100525</v>
      </c>
      <c r="G55" s="4">
        <f t="shared" si="2"/>
        <v>1.2565995681549071</v>
      </c>
      <c r="H55" s="4">
        <f t="shared" si="3"/>
        <v>3.2800759211534425</v>
      </c>
      <c r="I55" s="3">
        <f t="shared" si="4"/>
        <v>187.93450676457803</v>
      </c>
      <c r="J55" s="2">
        <f t="shared" si="5"/>
        <v>-0.99427366539666961</v>
      </c>
      <c r="K55" s="2">
        <f t="shared" si="6"/>
        <v>-0.1068638306382078</v>
      </c>
      <c r="L55" s="4">
        <f t="shared" si="7"/>
        <v>-1.1292155827452976E-2</v>
      </c>
      <c r="M55" s="4">
        <f t="shared" si="8"/>
        <v>0.159246247236218</v>
      </c>
    </row>
    <row r="56" spans="1:13" x14ac:dyDescent="0.4">
      <c r="A56" s="1">
        <f t="shared" si="0"/>
        <v>2.6999999999999984</v>
      </c>
      <c r="B56" s="1">
        <f t="shared" si="11"/>
        <v>0.19073000000000001</v>
      </c>
      <c r="C56" s="1">
        <f t="shared" si="12"/>
        <v>1.0319999999999999E-2</v>
      </c>
      <c r="D56" s="1">
        <f t="shared" si="10"/>
        <v>0</v>
      </c>
      <c r="E56" s="1">
        <f t="shared" si="9"/>
        <v>0</v>
      </c>
      <c r="F56" s="1">
        <f t="shared" si="1"/>
        <v>0.100525</v>
      </c>
      <c r="G56" s="4">
        <f t="shared" si="2"/>
        <v>1.2565995681549071</v>
      </c>
      <c r="H56" s="4">
        <f t="shared" si="3"/>
        <v>3.3429058995611878</v>
      </c>
      <c r="I56" s="3">
        <f t="shared" si="4"/>
        <v>191.53439935423995</v>
      </c>
      <c r="J56" s="2">
        <f t="shared" si="5"/>
        <v>-0.98560197496737167</v>
      </c>
      <c r="K56" s="2">
        <f t="shared" si="6"/>
        <v>-0.16908207161144101</v>
      </c>
      <c r="L56" s="4">
        <f t="shared" si="7"/>
        <v>-1.6246037754132726E-2</v>
      </c>
      <c r="M56" s="4">
        <f t="shared" si="8"/>
        <v>0.15839639847378098</v>
      </c>
    </row>
    <row r="57" spans="1:13" x14ac:dyDescent="0.4">
      <c r="A57" s="1">
        <f t="shared" si="0"/>
        <v>2.7499999999999982</v>
      </c>
      <c r="B57" s="1">
        <f t="shared" si="11"/>
        <v>0.19073000000000001</v>
      </c>
      <c r="C57" s="1">
        <f t="shared" si="12"/>
        <v>1.0319999999999999E-2</v>
      </c>
      <c r="D57" s="1">
        <f t="shared" si="10"/>
        <v>0</v>
      </c>
      <c r="E57" s="1">
        <f t="shared" si="9"/>
        <v>0</v>
      </c>
      <c r="F57" s="1">
        <f t="shared" si="1"/>
        <v>0.100525</v>
      </c>
      <c r="G57" s="4">
        <f t="shared" si="2"/>
        <v>1.2565995681549071</v>
      </c>
      <c r="H57" s="4">
        <f t="shared" si="3"/>
        <v>3.4057358779689331</v>
      </c>
      <c r="I57" s="3">
        <f t="shared" si="4"/>
        <v>195.13429194390181</v>
      </c>
      <c r="J57" s="2">
        <f t="shared" si="5"/>
        <v>-0.97304079585077541</v>
      </c>
      <c r="K57" s="2">
        <f t="shared" si="6"/>
        <v>-0.23063306269936576</v>
      </c>
      <c r="L57" s="4">
        <f t="shared" si="7"/>
        <v>-2.1136784054277685E-2</v>
      </c>
      <c r="M57" s="4">
        <f t="shared" si="8"/>
        <v>0.15723717904238829</v>
      </c>
    </row>
    <row r="58" spans="1:13" x14ac:dyDescent="0.4">
      <c r="A58" s="1">
        <f t="shared" si="0"/>
        <v>2.799999999999998</v>
      </c>
      <c r="B58" s="1">
        <f t="shared" si="11"/>
        <v>0.19073000000000001</v>
      </c>
      <c r="C58" s="1">
        <f t="shared" si="12"/>
        <v>1.0319999999999999E-2</v>
      </c>
      <c r="D58" s="1">
        <f t="shared" si="10"/>
        <v>0</v>
      </c>
      <c r="E58" s="1">
        <f t="shared" si="9"/>
        <v>0</v>
      </c>
      <c r="F58" s="1">
        <f t="shared" si="1"/>
        <v>0.100525</v>
      </c>
      <c r="G58" s="4">
        <f t="shared" si="2"/>
        <v>1.2565995681549071</v>
      </c>
      <c r="H58" s="4">
        <f t="shared" si="3"/>
        <v>3.4685658563766784</v>
      </c>
      <c r="I58" s="3">
        <f t="shared" si="4"/>
        <v>198.73418453356373</v>
      </c>
      <c r="J58" s="2">
        <f t="shared" si="5"/>
        <v>-0.95663969832506046</v>
      </c>
      <c r="K58" s="2">
        <f t="shared" si="6"/>
        <v>-0.29127390475038678</v>
      </c>
      <c r="L58" s="4">
        <f t="shared" si="7"/>
        <v>-2.5945094337984021E-2</v>
      </c>
      <c r="M58" s="4">
        <f t="shared" si="8"/>
        <v>0.15577316357863666</v>
      </c>
    </row>
    <row r="59" spans="1:13" x14ac:dyDescent="0.4">
      <c r="A59" s="1">
        <f t="shared" si="0"/>
        <v>2.8499999999999979</v>
      </c>
      <c r="B59" s="1">
        <f t="shared" si="11"/>
        <v>0.19073000000000001</v>
      </c>
      <c r="C59" s="1">
        <f t="shared" si="12"/>
        <v>1.0319999999999999E-2</v>
      </c>
      <c r="D59" s="1">
        <f t="shared" si="10"/>
        <v>0</v>
      </c>
      <c r="E59" s="1">
        <f t="shared" si="9"/>
        <v>0</v>
      </c>
      <c r="F59" s="1">
        <f t="shared" si="1"/>
        <v>0.100525</v>
      </c>
      <c r="G59" s="4">
        <f t="shared" si="2"/>
        <v>1.2565995681549071</v>
      </c>
      <c r="H59" s="4">
        <f t="shared" si="3"/>
        <v>3.5313958347844236</v>
      </c>
      <c r="I59" s="3">
        <f t="shared" si="4"/>
        <v>202.33407712322565</v>
      </c>
      <c r="J59" s="2">
        <f t="shared" si="5"/>
        <v>-0.93646340616808554</v>
      </c>
      <c r="K59" s="2">
        <f t="shared" si="6"/>
        <v>-0.35076529034108722</v>
      </c>
      <c r="L59" s="4">
        <f t="shared" si="7"/>
        <v>-3.065199353323636E-2</v>
      </c>
      <c r="M59" s="4">
        <f t="shared" si="8"/>
        <v>0.15401012953805976</v>
      </c>
    </row>
    <row r="60" spans="1:13" x14ac:dyDescent="0.4">
      <c r="A60" s="1">
        <f t="shared" si="0"/>
        <v>2.8999999999999977</v>
      </c>
      <c r="B60" s="1">
        <f t="shared" si="11"/>
        <v>0.19073000000000001</v>
      </c>
      <c r="C60" s="1">
        <f t="shared" si="12"/>
        <v>1.0319999999999999E-2</v>
      </c>
      <c r="D60" s="1">
        <f t="shared" si="10"/>
        <v>0</v>
      </c>
      <c r="E60" s="1">
        <f t="shared" si="9"/>
        <v>0</v>
      </c>
      <c r="F60" s="1">
        <f t="shared" si="1"/>
        <v>0.100525</v>
      </c>
      <c r="G60" s="4">
        <f t="shared" si="2"/>
        <v>1.2565995681549071</v>
      </c>
      <c r="H60" s="4">
        <f t="shared" si="3"/>
        <v>3.5942258131921689</v>
      </c>
      <c r="I60" s="3">
        <f t="shared" si="4"/>
        <v>205.93396971288752</v>
      </c>
      <c r="J60" s="2">
        <f t="shared" si="5"/>
        <v>-0.91259154123744635</v>
      </c>
      <c r="K60" s="2">
        <f t="shared" si="6"/>
        <v>-0.40887244815695545</v>
      </c>
      <c r="L60" s="4">
        <f t="shared" si="7"/>
        <v>-3.5238906767381076E-2</v>
      </c>
      <c r="M60" s="4">
        <f t="shared" si="8"/>
        <v>0.15195503439551086</v>
      </c>
    </row>
    <row r="61" spans="1:13" x14ac:dyDescent="0.4">
      <c r="A61" s="1">
        <f t="shared" si="0"/>
        <v>2.9499999999999975</v>
      </c>
      <c r="B61" s="1">
        <f t="shared" si="11"/>
        <v>0.19073000000000001</v>
      </c>
      <c r="C61" s="1">
        <f t="shared" si="12"/>
        <v>1.0319999999999999E-2</v>
      </c>
      <c r="D61" s="1">
        <f t="shared" si="10"/>
        <v>0</v>
      </c>
      <c r="E61" s="1">
        <f t="shared" si="9"/>
        <v>0</v>
      </c>
      <c r="F61" s="1">
        <f t="shared" si="1"/>
        <v>0.100525</v>
      </c>
      <c r="G61" s="4">
        <f t="shared" si="2"/>
        <v>1.2565995681549071</v>
      </c>
      <c r="H61" s="4">
        <f t="shared" si="3"/>
        <v>3.6570557915999142</v>
      </c>
      <c r="I61" s="3">
        <f t="shared" si="4"/>
        <v>209.53386230254944</v>
      </c>
      <c r="J61" s="2">
        <f t="shared" si="5"/>
        <v>-0.88511830925812107</v>
      </c>
      <c r="K61" s="2">
        <f t="shared" si="6"/>
        <v>-0.46536606947224363</v>
      </c>
      <c r="L61" s="4">
        <f t="shared" si="7"/>
        <v>-3.968773266928971E-2</v>
      </c>
      <c r="M61" s="4">
        <f t="shared" si="8"/>
        <v>0.14961598818882599</v>
      </c>
    </row>
    <row r="62" spans="1:13" x14ac:dyDescent="0.4">
      <c r="A62" s="1">
        <f t="shared" si="0"/>
        <v>2.9999999999999973</v>
      </c>
      <c r="B62" s="1">
        <f t="shared" si="11"/>
        <v>0.19073000000000001</v>
      </c>
      <c r="C62" s="1">
        <f t="shared" si="12"/>
        <v>1.0319999999999999E-2</v>
      </c>
      <c r="D62" s="1">
        <f t="shared" si="10"/>
        <v>0</v>
      </c>
      <c r="E62" s="1">
        <f t="shared" si="9"/>
        <v>0</v>
      </c>
      <c r="F62" s="1">
        <f t="shared" si="1"/>
        <v>0.100525</v>
      </c>
      <c r="G62" s="4">
        <f t="shared" si="2"/>
        <v>1.2565995681549071</v>
      </c>
      <c r="H62" s="4">
        <f t="shared" si="3"/>
        <v>3.7198857700076595</v>
      </c>
      <c r="I62" s="3">
        <f t="shared" si="4"/>
        <v>213.1337548922113</v>
      </c>
      <c r="J62" s="2">
        <f t="shared" si="5"/>
        <v>-0.85415212805769314</v>
      </c>
      <c r="K62" s="2">
        <f t="shared" si="6"/>
        <v>-0.52002321307275712</v>
      </c>
      <c r="L62" s="4">
        <f t="shared" si="7"/>
        <v>-4.398091480293969E-2</v>
      </c>
      <c r="M62" s="4">
        <f t="shared" si="8"/>
        <v>0.14700222151411904</v>
      </c>
    </row>
    <row r="63" spans="1:13" x14ac:dyDescent="0.4">
      <c r="A63" s="1">
        <f t="shared" si="0"/>
        <v>3.0499999999999972</v>
      </c>
      <c r="B63" s="1">
        <f t="shared" si="11"/>
        <v>0.19073000000000001</v>
      </c>
      <c r="C63" s="1">
        <f t="shared" si="12"/>
        <v>1.0319999999999999E-2</v>
      </c>
      <c r="D63" s="1">
        <f t="shared" si="10"/>
        <v>0</v>
      </c>
      <c r="E63" s="1">
        <f t="shared" si="9"/>
        <v>0</v>
      </c>
      <c r="F63" s="1">
        <f t="shared" si="1"/>
        <v>0.100525</v>
      </c>
      <c r="G63" s="4">
        <f t="shared" si="2"/>
        <v>1.2565995681549071</v>
      </c>
      <c r="H63" s="4">
        <f t="shared" si="3"/>
        <v>3.7827157484154048</v>
      </c>
      <c r="I63" s="3">
        <f t="shared" si="4"/>
        <v>216.73364748187322</v>
      </c>
      <c r="J63" s="2">
        <f t="shared" si="5"/>
        <v>-0.81981519971623751</v>
      </c>
      <c r="K63" s="2">
        <f t="shared" si="6"/>
        <v>-0.57262818505049651</v>
      </c>
      <c r="L63" s="4">
        <f t="shared" si="7"/>
        <v>-4.8101510950513432E-2</v>
      </c>
      <c r="M63" s="4">
        <f t="shared" si="8"/>
        <v>0.14412404909900897</v>
      </c>
    </row>
    <row r="64" spans="1:13" x14ac:dyDescent="0.4">
      <c r="A64" s="1">
        <f t="shared" si="0"/>
        <v>3.099999999999997</v>
      </c>
      <c r="B64" s="1">
        <f t="shared" si="11"/>
        <v>0.19073000000000001</v>
      </c>
      <c r="C64" s="1">
        <f t="shared" si="12"/>
        <v>1.0319999999999999E-2</v>
      </c>
      <c r="D64" s="1">
        <f t="shared" si="10"/>
        <v>0</v>
      </c>
      <c r="E64" s="1">
        <f t="shared" si="9"/>
        <v>0</v>
      </c>
      <c r="F64" s="1">
        <f t="shared" si="1"/>
        <v>0.100525</v>
      </c>
      <c r="G64" s="4">
        <f t="shared" si="2"/>
        <v>1.2565995681549071</v>
      </c>
      <c r="H64" s="4">
        <f t="shared" si="3"/>
        <v>3.8455457268231501</v>
      </c>
      <c r="I64" s="3">
        <f t="shared" si="4"/>
        <v>220.33354007153511</v>
      </c>
      <c r="J64" s="2">
        <f t="shared" si="5"/>
        <v>-0.78224302831931158</v>
      </c>
      <c r="K64" s="2">
        <f t="shared" si="6"/>
        <v>-0.62297338999818663</v>
      </c>
      <c r="L64" s="4">
        <f t="shared" si="7"/>
        <v>-5.2033259971603373E-2</v>
      </c>
      <c r="M64" s="4">
        <f t="shared" si="8"/>
        <v>0.14099282909753058</v>
      </c>
    </row>
    <row r="65" spans="1:13" x14ac:dyDescent="0.4">
      <c r="A65" s="1">
        <f t="shared" si="0"/>
        <v>3.1499999999999968</v>
      </c>
      <c r="B65" s="1">
        <f t="shared" si="11"/>
        <v>0.19073000000000001</v>
      </c>
      <c r="C65" s="1">
        <f t="shared" si="12"/>
        <v>1.0319999999999999E-2</v>
      </c>
      <c r="D65" s="1">
        <f t="shared" si="10"/>
        <v>0</v>
      </c>
      <c r="E65" s="1">
        <f t="shared" si="9"/>
        <v>0</v>
      </c>
      <c r="F65" s="1">
        <f t="shared" si="1"/>
        <v>0.100525</v>
      </c>
      <c r="G65" s="4">
        <f t="shared" si="2"/>
        <v>1.2565995681549071</v>
      </c>
      <c r="H65" s="4">
        <f t="shared" si="3"/>
        <v>3.9083757052308954</v>
      </c>
      <c r="I65" s="3">
        <f t="shared" si="4"/>
        <v>223.933432661197</v>
      </c>
      <c r="J65" s="2">
        <f t="shared" si="5"/>
        <v>-0.74158388521713203</v>
      </c>
      <c r="K65" s="2">
        <f t="shared" si="6"/>
        <v>-0.67086015024464185</v>
      </c>
      <c r="L65" s="4">
        <f t="shared" si="7"/>
        <v>-5.5760645974675983E-2</v>
      </c>
      <c r="M65" s="4">
        <f t="shared" si="8"/>
        <v>0.13762091826736345</v>
      </c>
    </row>
    <row r="66" spans="1:13" x14ac:dyDescent="0.4">
      <c r="A66" s="1">
        <f t="shared" si="0"/>
        <v>3.1999999999999966</v>
      </c>
      <c r="B66" s="1">
        <f t="shared" si="11"/>
        <v>0.19073000000000001</v>
      </c>
      <c r="C66" s="1">
        <f t="shared" si="12"/>
        <v>1.0319999999999999E-2</v>
      </c>
      <c r="D66" s="1">
        <f t="shared" si="10"/>
        <v>0</v>
      </c>
      <c r="E66" s="1">
        <f t="shared" si="9"/>
        <v>0</v>
      </c>
      <c r="F66" s="1">
        <f t="shared" si="1"/>
        <v>0.100525</v>
      </c>
      <c r="G66" s="4">
        <f t="shared" si="2"/>
        <v>1.2565995681549071</v>
      </c>
      <c r="H66" s="4">
        <f t="shared" si="3"/>
        <v>3.9712056836386407</v>
      </c>
      <c r="I66" s="3">
        <f t="shared" si="4"/>
        <v>227.53332525085892</v>
      </c>
      <c r="J66" s="2">
        <f t="shared" si="5"/>
        <v>-0.69799822390020405</v>
      </c>
      <c r="K66" s="2">
        <f t="shared" si="6"/>
        <v>-0.71609948989798944</v>
      </c>
      <c r="L66" s="4">
        <f t="shared" si="7"/>
        <v>-5.9268959547554387E-2</v>
      </c>
      <c r="M66" s="4">
        <f t="shared" si="8"/>
        <v>0.13402162320626368</v>
      </c>
    </row>
    <row r="67" spans="1:13" x14ac:dyDescent="0.4">
      <c r="A67" s="1">
        <f t="shared" si="0"/>
        <v>3.2499999999999964</v>
      </c>
      <c r="B67" s="1">
        <f t="shared" si="11"/>
        <v>0.19073000000000001</v>
      </c>
      <c r="C67" s="1">
        <f t="shared" si="12"/>
        <v>1.0319999999999999E-2</v>
      </c>
      <c r="D67" s="1">
        <f t="shared" si="10"/>
        <v>0</v>
      </c>
      <c r="E67" s="1">
        <f t="shared" si="9"/>
        <v>0</v>
      </c>
      <c r="F67" s="1">
        <f t="shared" si="1"/>
        <v>0.100525</v>
      </c>
      <c r="G67" s="4">
        <f t="shared" si="2"/>
        <v>1.2565995681549071</v>
      </c>
      <c r="H67" s="4">
        <f t="shared" si="3"/>
        <v>4.034035662046386</v>
      </c>
      <c r="I67" s="3">
        <f t="shared" si="4"/>
        <v>231.13321784052081</v>
      </c>
      <c r="J67" s="2">
        <f t="shared" si="5"/>
        <v>-0.65165804680046768</v>
      </c>
      <c r="K67" s="2">
        <f t="shared" si="6"/>
        <v>-0.75851288060269584</v>
      </c>
      <c r="L67" s="4">
        <f t="shared" si="7"/>
        <v>-6.2544355805285237E-2</v>
      </c>
      <c r="M67" s="4">
        <f t="shared" si="8"/>
        <v>0.13020914784013438</v>
      </c>
    </row>
    <row r="68" spans="1:13" x14ac:dyDescent="0.4">
      <c r="A68" s="1">
        <f t="shared" ref="A68:A131" si="13">A67+$P$3</f>
        <v>3.2999999999999963</v>
      </c>
      <c r="B68" s="1">
        <f t="shared" si="11"/>
        <v>0.19073000000000001</v>
      </c>
      <c r="C68" s="1">
        <f t="shared" si="12"/>
        <v>1.0319999999999999E-2</v>
      </c>
      <c r="D68" s="1">
        <f t="shared" si="10"/>
        <v>0</v>
      </c>
      <c r="E68" s="1">
        <f t="shared" si="10"/>
        <v>0</v>
      </c>
      <c r="F68" s="1">
        <f t="shared" ref="F68:F131" si="14">(B68+C68)/2</f>
        <v>0.100525</v>
      </c>
      <c r="G68" s="4">
        <f t="shared" ref="G68:G131" si="15">(B68-C68)/R$3</f>
        <v>1.2565995681549071</v>
      </c>
      <c r="H68" s="4">
        <f t="shared" ref="H68:H131" si="16">H67+G68*P$3</f>
        <v>4.0968656404541317</v>
      </c>
      <c r="I68" s="3">
        <f t="shared" ref="I68:I131" si="17">H68*180/PI()</f>
        <v>234.73311043018271</v>
      </c>
      <c r="J68" s="2">
        <f t="shared" ref="J68:J131" si="18">COS((H68+H67)/2)</f>
        <v>-0.60274622651677645</v>
      </c>
      <c r="K68" s="2">
        <f t="shared" ref="K68:K131" si="19">SIN((H68+H67)/2)</f>
        <v>-0.79793294606739151</v>
      </c>
      <c r="L68" s="4">
        <f t="shared" ref="L68:L131" si="20">L67+F68*P$3*J68</f>
        <v>-6.5573909026315186E-2</v>
      </c>
      <c r="M68" s="4">
        <f t="shared" ref="M68:M131" si="21">M67+F68*P$3*K68</f>
        <v>0.12619853736996314</v>
      </c>
    </row>
    <row r="69" spans="1:13" x14ac:dyDescent="0.4">
      <c r="A69" s="1">
        <f t="shared" si="13"/>
        <v>3.3499999999999961</v>
      </c>
      <c r="B69" s="1">
        <f t="shared" si="11"/>
        <v>0.19073000000000001</v>
      </c>
      <c r="C69" s="1">
        <f t="shared" si="12"/>
        <v>1.0319999999999999E-2</v>
      </c>
      <c r="D69" s="1">
        <f t="shared" ref="D69:E132" si="22">(B69-B68)/$P$3</f>
        <v>0</v>
      </c>
      <c r="E69" s="1">
        <f t="shared" si="22"/>
        <v>0</v>
      </c>
      <c r="F69" s="1">
        <f t="shared" si="14"/>
        <v>0.100525</v>
      </c>
      <c r="G69" s="4">
        <f t="shared" si="15"/>
        <v>1.2565995681549071</v>
      </c>
      <c r="H69" s="4">
        <f t="shared" si="16"/>
        <v>4.1596956188618774</v>
      </c>
      <c r="I69" s="3">
        <f t="shared" si="17"/>
        <v>238.33300301984465</v>
      </c>
      <c r="J69" s="2">
        <f t="shared" si="18"/>
        <v>-0.55145578414334606</v>
      </c>
      <c r="K69" s="2">
        <f t="shared" si="19"/>
        <v>-0.83420412258322441</v>
      </c>
      <c r="L69" s="4">
        <f t="shared" si="20"/>
        <v>-6.8345663661365685E-2</v>
      </c>
      <c r="M69" s="4">
        <f t="shared" si="21"/>
        <v>0.12200561889882922</v>
      </c>
    </row>
    <row r="70" spans="1:13" x14ac:dyDescent="0.4">
      <c r="A70" s="1">
        <f t="shared" si="13"/>
        <v>3.3999999999999959</v>
      </c>
      <c r="B70" s="1">
        <f t="shared" si="11"/>
        <v>0.19073000000000001</v>
      </c>
      <c r="C70" s="1">
        <f t="shared" si="12"/>
        <v>1.0319999999999999E-2</v>
      </c>
      <c r="D70" s="1">
        <f t="shared" si="22"/>
        <v>0</v>
      </c>
      <c r="E70" s="1">
        <f t="shared" si="22"/>
        <v>0</v>
      </c>
      <c r="F70" s="1">
        <f t="shared" si="14"/>
        <v>0.100525</v>
      </c>
      <c r="G70" s="4">
        <f t="shared" si="15"/>
        <v>1.2565995681549071</v>
      </c>
      <c r="H70" s="4">
        <f t="shared" si="16"/>
        <v>4.2225255972696232</v>
      </c>
      <c r="I70" s="3">
        <f t="shared" si="17"/>
        <v>241.93289560950657</v>
      </c>
      <c r="J70" s="2">
        <f t="shared" si="18"/>
        <v>-0.49798912754911601</v>
      </c>
      <c r="K70" s="2">
        <f t="shared" si="19"/>
        <v>-0.8671832729261274</v>
      </c>
      <c r="L70" s="4">
        <f t="shared" si="20"/>
        <v>-7.0848681513709433E-2</v>
      </c>
      <c r="M70" s="4">
        <f t="shared" si="21"/>
        <v>0.11764693897328427</v>
      </c>
    </row>
    <row r="71" spans="1:13" x14ac:dyDescent="0.4">
      <c r="A71" s="1">
        <f t="shared" si="13"/>
        <v>3.4499999999999957</v>
      </c>
      <c r="B71" s="1">
        <f t="shared" ref="B71:B134" si="23">B70</f>
        <v>0.19073000000000001</v>
      </c>
      <c r="C71" s="1">
        <f t="shared" ref="C71:C134" si="24">C70</f>
        <v>1.0319999999999999E-2</v>
      </c>
      <c r="D71" s="1">
        <f t="shared" si="22"/>
        <v>0</v>
      </c>
      <c r="E71" s="1">
        <f t="shared" si="22"/>
        <v>0</v>
      </c>
      <c r="F71" s="1">
        <f t="shared" si="14"/>
        <v>0.100525</v>
      </c>
      <c r="G71" s="4">
        <f t="shared" si="15"/>
        <v>1.2565995681549071</v>
      </c>
      <c r="H71" s="4">
        <f t="shared" si="16"/>
        <v>4.2853555756773689</v>
      </c>
      <c r="I71" s="3">
        <f t="shared" si="17"/>
        <v>245.53278819916849</v>
      </c>
      <c r="J71" s="2">
        <f t="shared" si="18"/>
        <v>-0.44255725261402129</v>
      </c>
      <c r="K71" s="2">
        <f t="shared" si="19"/>
        <v>-0.89674025122034606</v>
      </c>
      <c r="L71" s="4">
        <f t="shared" si="20"/>
        <v>-7.3073084904660662E-2</v>
      </c>
      <c r="M71" s="4">
        <f t="shared" si="21"/>
        <v>0.11313969828558799</v>
      </c>
    </row>
    <row r="72" spans="1:13" x14ac:dyDescent="0.4">
      <c r="A72" s="1">
        <f t="shared" si="13"/>
        <v>3.4999999999999956</v>
      </c>
      <c r="B72" s="1">
        <f t="shared" si="23"/>
        <v>0.19073000000000001</v>
      </c>
      <c r="C72" s="1">
        <f t="shared" si="24"/>
        <v>1.0319999999999999E-2</v>
      </c>
      <c r="D72" s="1">
        <f t="shared" si="22"/>
        <v>0</v>
      </c>
      <c r="E72" s="1">
        <f t="shared" si="22"/>
        <v>0</v>
      </c>
      <c r="F72" s="1">
        <f t="shared" si="14"/>
        <v>0.100525</v>
      </c>
      <c r="G72" s="4">
        <f t="shared" si="15"/>
        <v>1.2565995681549071</v>
      </c>
      <c r="H72" s="4">
        <f t="shared" si="16"/>
        <v>4.3481855540851146</v>
      </c>
      <c r="I72" s="3">
        <f t="shared" si="17"/>
        <v>249.13268078883044</v>
      </c>
      <c r="J72" s="2">
        <f t="shared" si="18"/>
        <v>-0.38537891057431012</v>
      </c>
      <c r="K72" s="2">
        <f t="shared" si="19"/>
        <v>-0.92275841653412072</v>
      </c>
      <c r="L72" s="4">
        <f t="shared" si="20"/>
        <v>-7.5010095653934794E-2</v>
      </c>
      <c r="M72" s="4">
        <f t="shared" si="21"/>
        <v>0.10850168379448337</v>
      </c>
    </row>
    <row r="73" spans="1:13" x14ac:dyDescent="0.4">
      <c r="A73" s="1">
        <f t="shared" si="13"/>
        <v>3.5499999999999954</v>
      </c>
      <c r="B73" s="1">
        <f t="shared" si="23"/>
        <v>0.19073000000000001</v>
      </c>
      <c r="C73" s="1">
        <f t="shared" si="24"/>
        <v>1.0319999999999999E-2</v>
      </c>
      <c r="D73" s="1">
        <f t="shared" si="22"/>
        <v>0</v>
      </c>
      <c r="E73" s="1">
        <f t="shared" si="22"/>
        <v>0</v>
      </c>
      <c r="F73" s="1">
        <f t="shared" si="14"/>
        <v>0.100525</v>
      </c>
      <c r="G73" s="4">
        <f t="shared" si="15"/>
        <v>1.2565995681549071</v>
      </c>
      <c r="H73" s="4">
        <f t="shared" si="16"/>
        <v>4.4110155324928604</v>
      </c>
      <c r="I73" s="3">
        <f t="shared" si="17"/>
        <v>252.73257337849236</v>
      </c>
      <c r="J73" s="2">
        <f t="shared" si="18"/>
        <v>-0.32667974476286271</v>
      </c>
      <c r="K73" s="2">
        <f t="shared" si="19"/>
        <v>-0.94513509318068967</v>
      </c>
      <c r="L73" s="4">
        <f t="shared" si="20"/>
        <v>-7.6652069721049126E-2</v>
      </c>
      <c r="M73" s="4">
        <f t="shared" si="21"/>
        <v>0.10375119853238393</v>
      </c>
    </row>
    <row r="74" spans="1:13" x14ac:dyDescent="0.4">
      <c r="A74" s="1">
        <f t="shared" si="13"/>
        <v>3.5999999999999952</v>
      </c>
      <c r="B74" s="1">
        <f t="shared" si="23"/>
        <v>0.19073000000000001</v>
      </c>
      <c r="C74" s="1">
        <f t="shared" si="24"/>
        <v>1.0319999999999999E-2</v>
      </c>
      <c r="D74" s="1">
        <f t="shared" si="22"/>
        <v>0</v>
      </c>
      <c r="E74" s="1">
        <f t="shared" si="22"/>
        <v>0</v>
      </c>
      <c r="F74" s="1">
        <f t="shared" si="14"/>
        <v>0.100525</v>
      </c>
      <c r="G74" s="4">
        <f t="shared" si="15"/>
        <v>1.2565995681549071</v>
      </c>
      <c r="H74" s="4">
        <f t="shared" si="16"/>
        <v>4.4738455109006061</v>
      </c>
      <c r="I74" s="3">
        <f t="shared" si="17"/>
        <v>256.33246596815428</v>
      </c>
      <c r="J74" s="2">
        <f t="shared" si="18"/>
        <v>-0.26669140015115134</v>
      </c>
      <c r="K74" s="2">
        <f t="shared" si="19"/>
        <v>-0.96378197590815029</v>
      </c>
      <c r="L74" s="4">
        <f t="shared" si="20"/>
        <v>-7.7992527371058856E-2</v>
      </c>
      <c r="M74" s="4">
        <f t="shared" si="21"/>
        <v>9.8906989375975585E-2</v>
      </c>
    </row>
    <row r="75" spans="1:13" x14ac:dyDescent="0.4">
      <c r="A75" s="1">
        <f t="shared" si="13"/>
        <v>3.649999999999995</v>
      </c>
      <c r="B75" s="1">
        <f t="shared" si="23"/>
        <v>0.19073000000000001</v>
      </c>
      <c r="C75" s="1">
        <f t="shared" si="24"/>
        <v>1.0319999999999999E-2</v>
      </c>
      <c r="D75" s="1">
        <f t="shared" si="22"/>
        <v>0</v>
      </c>
      <c r="E75" s="1">
        <f t="shared" si="22"/>
        <v>0</v>
      </c>
      <c r="F75" s="1">
        <f t="shared" si="14"/>
        <v>0.100525</v>
      </c>
      <c r="G75" s="4">
        <f t="shared" si="15"/>
        <v>1.2565995681549071</v>
      </c>
      <c r="H75" s="4">
        <f t="shared" si="16"/>
        <v>4.5366754893083518</v>
      </c>
      <c r="I75" s="3">
        <f t="shared" si="17"/>
        <v>259.9323585578162</v>
      </c>
      <c r="J75" s="2">
        <f t="shared" si="18"/>
        <v>-0.20565060920691272</v>
      </c>
      <c r="K75" s="2">
        <f t="shared" si="19"/>
        <v>-0.97862547837915281</v>
      </c>
      <c r="L75" s="4">
        <f t="shared" si="20"/>
        <v>-7.9026178745585096E-2</v>
      </c>
      <c r="M75" s="4">
        <f t="shared" si="21"/>
        <v>9.3988173065272365E-2</v>
      </c>
    </row>
    <row r="76" spans="1:13" x14ac:dyDescent="0.4">
      <c r="A76" s="1">
        <f t="shared" si="13"/>
        <v>3.6999999999999948</v>
      </c>
      <c r="B76" s="1">
        <f t="shared" si="23"/>
        <v>0.19073000000000001</v>
      </c>
      <c r="C76" s="1">
        <f t="shared" si="24"/>
        <v>1.0319999999999999E-2</v>
      </c>
      <c r="D76" s="1">
        <f t="shared" si="22"/>
        <v>0</v>
      </c>
      <c r="E76" s="1">
        <f t="shared" si="22"/>
        <v>0</v>
      </c>
      <c r="F76" s="1">
        <f t="shared" si="14"/>
        <v>0.100525</v>
      </c>
      <c r="G76" s="4">
        <f t="shared" si="15"/>
        <v>1.2565995681549071</v>
      </c>
      <c r="H76" s="4">
        <f t="shared" si="16"/>
        <v>4.5995054677160976</v>
      </c>
      <c r="I76" s="3">
        <f t="shared" si="17"/>
        <v>263.53225114747812</v>
      </c>
      <c r="J76" s="2">
        <f t="shared" si="18"/>
        <v>-0.1437982576749689</v>
      </c>
      <c r="K76" s="2">
        <f t="shared" si="19"/>
        <v>-0.98960702356523478</v>
      </c>
      <c r="L76" s="4">
        <f t="shared" si="20"/>
        <v>-7.9748944738223915E-2</v>
      </c>
      <c r="M76" s="4">
        <f t="shared" si="21"/>
        <v>8.901416076307761E-2</v>
      </c>
    </row>
    <row r="77" spans="1:13" x14ac:dyDescent="0.4">
      <c r="A77" s="1">
        <f t="shared" si="13"/>
        <v>3.7499999999999947</v>
      </c>
      <c r="B77" s="1">
        <f t="shared" si="23"/>
        <v>0.19073000000000001</v>
      </c>
      <c r="C77" s="1">
        <f t="shared" si="24"/>
        <v>1.0319999999999999E-2</v>
      </c>
      <c r="D77" s="1">
        <f t="shared" si="22"/>
        <v>0</v>
      </c>
      <c r="E77" s="1">
        <f t="shared" si="22"/>
        <v>0</v>
      </c>
      <c r="F77" s="1">
        <f t="shared" si="14"/>
        <v>0.100525</v>
      </c>
      <c r="G77" s="4">
        <f t="shared" si="15"/>
        <v>1.2565995681549071</v>
      </c>
      <c r="H77" s="4">
        <f t="shared" si="16"/>
        <v>4.6623354461238433</v>
      </c>
      <c r="I77" s="3">
        <f t="shared" si="17"/>
        <v>267.13214373714004</v>
      </c>
      <c r="J77" s="2">
        <f t="shared" si="18"/>
        <v>-8.1378433967964958E-2</v>
      </c>
      <c r="K77" s="2">
        <f t="shared" si="19"/>
        <v>-0.9966832749097988</v>
      </c>
      <c r="L77" s="4">
        <f t="shared" si="20"/>
        <v>-8.0157973091955395E-2</v>
      </c>
      <c r="M77" s="4">
        <f t="shared" si="21"/>
        <v>8.4004581452562233E-2</v>
      </c>
    </row>
    <row r="78" spans="1:13" x14ac:dyDescent="0.4">
      <c r="A78" s="1">
        <f t="shared" si="13"/>
        <v>3.7999999999999945</v>
      </c>
      <c r="B78" s="1">
        <f t="shared" si="23"/>
        <v>0.19073000000000001</v>
      </c>
      <c r="C78" s="1">
        <f t="shared" si="24"/>
        <v>1.0319999999999999E-2</v>
      </c>
      <c r="D78" s="1">
        <f t="shared" si="22"/>
        <v>0</v>
      </c>
      <c r="E78" s="1">
        <f t="shared" si="22"/>
        <v>0</v>
      </c>
      <c r="F78" s="1">
        <f t="shared" si="14"/>
        <v>0.100525</v>
      </c>
      <c r="G78" s="4">
        <f t="shared" si="15"/>
        <v>1.2565995681549071</v>
      </c>
      <c r="H78" s="4">
        <f t="shared" si="16"/>
        <v>4.7251654245315891</v>
      </c>
      <c r="I78" s="3">
        <f t="shared" si="17"/>
        <v>270.73203632680196</v>
      </c>
      <c r="J78" s="2">
        <f t="shared" si="18"/>
        <v>-1.8637465918367076E-2</v>
      </c>
      <c r="K78" s="2">
        <f t="shared" si="19"/>
        <v>-0.99982630734750211</v>
      </c>
      <c r="L78" s="4">
        <f t="shared" si="20"/>
        <v>-8.0251649655027582E-2</v>
      </c>
      <c r="M78" s="4">
        <f t="shared" si="21"/>
        <v>7.8979204475256845E-2</v>
      </c>
    </row>
    <row r="79" spans="1:13" x14ac:dyDescent="0.4">
      <c r="A79" s="1">
        <f t="shared" si="13"/>
        <v>3.8499999999999943</v>
      </c>
      <c r="B79" s="1">
        <f t="shared" si="23"/>
        <v>0.19073000000000001</v>
      </c>
      <c r="C79" s="1">
        <f t="shared" si="24"/>
        <v>1.0319999999999999E-2</v>
      </c>
      <c r="D79" s="1">
        <f t="shared" si="22"/>
        <v>0</v>
      </c>
      <c r="E79" s="1">
        <f t="shared" si="22"/>
        <v>0</v>
      </c>
      <c r="F79" s="1">
        <f t="shared" si="14"/>
        <v>0.100525</v>
      </c>
      <c r="G79" s="4">
        <f t="shared" si="15"/>
        <v>1.2565995681549071</v>
      </c>
      <c r="H79" s="4">
        <f t="shared" si="16"/>
        <v>4.7879954029393348</v>
      </c>
      <c r="I79" s="3">
        <f t="shared" si="17"/>
        <v>274.33192891646388</v>
      </c>
      <c r="J79" s="2">
        <f t="shared" si="18"/>
        <v>4.4177051306951612E-2</v>
      </c>
      <c r="K79" s="2">
        <f t="shared" si="19"/>
        <v>-0.99902371750515662</v>
      </c>
      <c r="L79" s="4">
        <f t="shared" si="20"/>
        <v>-8.0029604750896016E-2</v>
      </c>
      <c r="M79" s="4">
        <f t="shared" si="21"/>
        <v>7.395786151514655E-2</v>
      </c>
    </row>
    <row r="80" spans="1:13" x14ac:dyDescent="0.4">
      <c r="A80" s="1">
        <f t="shared" si="13"/>
        <v>3.8999999999999941</v>
      </c>
      <c r="B80" s="1">
        <f t="shared" si="23"/>
        <v>0.19073000000000001</v>
      </c>
      <c r="C80" s="1">
        <f t="shared" si="24"/>
        <v>1.0319999999999999E-2</v>
      </c>
      <c r="D80" s="1">
        <f t="shared" si="22"/>
        <v>0</v>
      </c>
      <c r="E80" s="1">
        <f t="shared" si="22"/>
        <v>0</v>
      </c>
      <c r="F80" s="1">
        <f t="shared" si="14"/>
        <v>0.100525</v>
      </c>
      <c r="G80" s="4">
        <f t="shared" si="15"/>
        <v>1.2565995681549071</v>
      </c>
      <c r="H80" s="4">
        <f t="shared" si="16"/>
        <v>4.8508253813470805</v>
      </c>
      <c r="I80" s="3">
        <f t="shared" si="17"/>
        <v>277.9318215061258</v>
      </c>
      <c r="J80" s="2">
        <f t="shared" si="18"/>
        <v>0.10681723229344475</v>
      </c>
      <c r="K80" s="2">
        <f t="shared" si="19"/>
        <v>-0.99427867264925696</v>
      </c>
      <c r="L80" s="4">
        <f t="shared" si="20"/>
        <v>-7.9492714637081088E-2</v>
      </c>
      <c r="M80" s="4">
        <f t="shared" si="21"/>
        <v>6.8960368336743225E-2</v>
      </c>
    </row>
    <row r="81" spans="1:13" x14ac:dyDescent="0.4">
      <c r="A81" s="1">
        <f t="shared" si="13"/>
        <v>3.949999999999994</v>
      </c>
      <c r="B81" s="1">
        <f t="shared" si="23"/>
        <v>0.19073000000000001</v>
      </c>
      <c r="C81" s="1">
        <f t="shared" si="24"/>
        <v>1.0319999999999999E-2</v>
      </c>
      <c r="D81" s="1">
        <f t="shared" si="22"/>
        <v>0</v>
      </c>
      <c r="E81" s="1">
        <f t="shared" si="22"/>
        <v>0</v>
      </c>
      <c r="F81" s="1">
        <f t="shared" si="14"/>
        <v>0.100525</v>
      </c>
      <c r="G81" s="4">
        <f t="shared" si="15"/>
        <v>1.2565995681549071</v>
      </c>
      <c r="H81" s="4">
        <f t="shared" si="16"/>
        <v>4.9136553597548263</v>
      </c>
      <c r="I81" s="3">
        <f t="shared" si="17"/>
        <v>281.53171409578772</v>
      </c>
      <c r="J81" s="2">
        <f t="shared" si="18"/>
        <v>0.16903587961100491</v>
      </c>
      <c r="K81" s="2">
        <f t="shared" si="19"/>
        <v>-0.98560989818697231</v>
      </c>
      <c r="L81" s="4">
        <f t="shared" si="20"/>
        <v>-7.8643098047186277E-2</v>
      </c>
      <c r="M81" s="4">
        <f t="shared" si="21"/>
        <v>6.4006446585980953E-2</v>
      </c>
    </row>
    <row r="82" spans="1:13" x14ac:dyDescent="0.4">
      <c r="A82" s="1">
        <f t="shared" si="13"/>
        <v>3.9999999999999938</v>
      </c>
      <c r="B82" s="1">
        <f t="shared" si="23"/>
        <v>0.19073000000000001</v>
      </c>
      <c r="C82" s="1">
        <f t="shared" si="24"/>
        <v>1.0319999999999999E-2</v>
      </c>
      <c r="D82" s="1">
        <f t="shared" si="22"/>
        <v>0</v>
      </c>
      <c r="E82" s="1">
        <f t="shared" si="22"/>
        <v>0</v>
      </c>
      <c r="F82" s="1">
        <f t="shared" si="14"/>
        <v>0.100525</v>
      </c>
      <c r="G82" s="4">
        <f t="shared" si="15"/>
        <v>1.2565995681549071</v>
      </c>
      <c r="H82" s="4">
        <f t="shared" si="16"/>
        <v>4.976485338162572</v>
      </c>
      <c r="I82" s="3">
        <f t="shared" si="17"/>
        <v>285.13160668544964</v>
      </c>
      <c r="J82" s="2">
        <f t="shared" si="18"/>
        <v>0.23058745933110558</v>
      </c>
      <c r="K82" s="2">
        <f t="shared" si="19"/>
        <v>-0.97305160376992639</v>
      </c>
      <c r="L82" s="4">
        <f t="shared" si="20"/>
        <v>-7.7484107829723314E-2</v>
      </c>
      <c r="M82" s="4">
        <f t="shared" si="21"/>
        <v>5.9115645962532361E-2</v>
      </c>
    </row>
    <row r="83" spans="1:13" x14ac:dyDescent="0.4">
      <c r="A83" s="1">
        <f t="shared" si="13"/>
        <v>4.0499999999999936</v>
      </c>
      <c r="B83" s="1">
        <f t="shared" si="23"/>
        <v>0.19073000000000001</v>
      </c>
      <c r="C83" s="1">
        <f t="shared" si="24"/>
        <v>1.0319999999999999E-2</v>
      </c>
      <c r="D83" s="1">
        <f t="shared" si="22"/>
        <v>0</v>
      </c>
      <c r="E83" s="1">
        <f t="shared" si="22"/>
        <v>0</v>
      </c>
      <c r="F83" s="1">
        <f t="shared" si="14"/>
        <v>0.100525</v>
      </c>
      <c r="G83" s="4">
        <f t="shared" si="15"/>
        <v>1.2565995681549071</v>
      </c>
      <c r="H83" s="4">
        <f t="shared" si="16"/>
        <v>5.0393153165703177</v>
      </c>
      <c r="I83" s="3">
        <f t="shared" si="17"/>
        <v>288.73149927511156</v>
      </c>
      <c r="J83" s="2">
        <f t="shared" si="18"/>
        <v>0.2912290699792261</v>
      </c>
      <c r="K83" s="2">
        <f t="shared" si="19"/>
        <v>-0.95665334829238691</v>
      </c>
      <c r="L83" s="4">
        <f t="shared" si="20"/>
        <v>-7.6020317716740227E-2</v>
      </c>
      <c r="M83" s="4">
        <f t="shared" si="21"/>
        <v>5.4307267070677748E-2</v>
      </c>
    </row>
    <row r="84" spans="1:13" x14ac:dyDescent="0.4">
      <c r="A84" s="1">
        <f t="shared" si="13"/>
        <v>4.0999999999999934</v>
      </c>
      <c r="B84" s="1">
        <f t="shared" si="23"/>
        <v>0.19073000000000001</v>
      </c>
      <c r="C84" s="1">
        <f t="shared" si="24"/>
        <v>1.0319999999999999E-2</v>
      </c>
      <c r="D84" s="1">
        <f t="shared" si="22"/>
        <v>0</v>
      </c>
      <c r="E84" s="1">
        <f t="shared" si="22"/>
        <v>0</v>
      </c>
      <c r="F84" s="1">
        <f t="shared" si="14"/>
        <v>0.100525</v>
      </c>
      <c r="G84" s="4">
        <f t="shared" si="15"/>
        <v>1.2565995681549071</v>
      </c>
      <c r="H84" s="4">
        <f t="shared" si="16"/>
        <v>5.1021452949780635</v>
      </c>
      <c r="I84" s="3">
        <f t="shared" si="17"/>
        <v>292.33139186477348</v>
      </c>
      <c r="J84" s="2">
        <f t="shared" si="18"/>
        <v>0.35072140109883065</v>
      </c>
      <c r="K84" s="2">
        <f t="shared" si="19"/>
        <v>-0.93647984431661591</v>
      </c>
      <c r="L84" s="4">
        <f t="shared" si="20"/>
        <v>-7.4257504274467229E-2</v>
      </c>
      <c r="M84" s="4">
        <f t="shared" si="21"/>
        <v>4.9600285253181359E-2</v>
      </c>
    </row>
    <row r="85" spans="1:13" x14ac:dyDescent="0.4">
      <c r="A85" s="1">
        <f t="shared" si="13"/>
        <v>4.1499999999999932</v>
      </c>
      <c r="B85" s="1">
        <f t="shared" si="23"/>
        <v>0.19073000000000001</v>
      </c>
      <c r="C85" s="1">
        <f t="shared" si="24"/>
        <v>1.0319999999999999E-2</v>
      </c>
      <c r="D85" s="1">
        <f t="shared" si="22"/>
        <v>0</v>
      </c>
      <c r="E85" s="1">
        <f t="shared" si="22"/>
        <v>0</v>
      </c>
      <c r="F85" s="1">
        <f t="shared" si="14"/>
        <v>0.100525</v>
      </c>
      <c r="G85" s="4">
        <f t="shared" si="15"/>
        <v>1.2565995681549071</v>
      </c>
      <c r="H85" s="4">
        <f t="shared" si="16"/>
        <v>5.1649752733858092</v>
      </c>
      <c r="I85" s="3">
        <f t="shared" si="17"/>
        <v>295.9312844544354</v>
      </c>
      <c r="J85" s="2">
        <f t="shared" si="18"/>
        <v>0.40882967764405787</v>
      </c>
      <c r="K85" s="2">
        <f t="shared" si="19"/>
        <v>-0.91261070269718825</v>
      </c>
      <c r="L85" s="4">
        <f t="shared" si="20"/>
        <v>-7.2202624107208777E-2</v>
      </c>
      <c r="M85" s="4">
        <f t="shared" si="21"/>
        <v>4.5013275708749613E-2</v>
      </c>
    </row>
    <row r="86" spans="1:13" x14ac:dyDescent="0.4">
      <c r="A86" s="1">
        <f t="shared" si="13"/>
        <v>4.1999999999999931</v>
      </c>
      <c r="B86" s="1">
        <f t="shared" si="23"/>
        <v>0.19073000000000001</v>
      </c>
      <c r="C86" s="1">
        <f t="shared" si="24"/>
        <v>1.0319999999999999E-2</v>
      </c>
      <c r="D86" s="1">
        <f t="shared" si="22"/>
        <v>0</v>
      </c>
      <c r="E86" s="1">
        <f t="shared" si="22"/>
        <v>0</v>
      </c>
      <c r="F86" s="1">
        <f t="shared" si="14"/>
        <v>0.100525</v>
      </c>
      <c r="G86" s="4">
        <f t="shared" si="15"/>
        <v>1.2565995681549071</v>
      </c>
      <c r="H86" s="4">
        <f t="shared" si="16"/>
        <v>5.2278052517935549</v>
      </c>
      <c r="I86" s="3">
        <f t="shared" si="17"/>
        <v>299.53117704409732</v>
      </c>
      <c r="J86" s="2">
        <f t="shared" si="18"/>
        <v>0.46532458647431124</v>
      </c>
      <c r="K86" s="2">
        <f t="shared" si="19"/>
        <v>-0.88514011841205753</v>
      </c>
      <c r="L86" s="4">
        <f t="shared" si="20"/>
        <v>-6.9863786404442269E-2</v>
      </c>
      <c r="M86" s="4">
        <f t="shared" si="21"/>
        <v>4.0564340188581009E-2</v>
      </c>
    </row>
    <row r="87" spans="1:13" x14ac:dyDescent="0.4">
      <c r="A87" s="1">
        <f t="shared" si="13"/>
        <v>4.2499999999999929</v>
      </c>
      <c r="B87" s="1">
        <f t="shared" si="23"/>
        <v>0.19073000000000001</v>
      </c>
      <c r="C87" s="1">
        <f t="shared" si="24"/>
        <v>1.0319999999999999E-2</v>
      </c>
      <c r="D87" s="1">
        <f t="shared" si="22"/>
        <v>0</v>
      </c>
      <c r="E87" s="1">
        <f t="shared" si="22"/>
        <v>0</v>
      </c>
      <c r="F87" s="1">
        <f t="shared" si="14"/>
        <v>0.100525</v>
      </c>
      <c r="G87" s="4">
        <f t="shared" si="15"/>
        <v>1.2565995681549071</v>
      </c>
      <c r="H87" s="4">
        <f t="shared" si="16"/>
        <v>5.2906352302013007</v>
      </c>
      <c r="I87" s="3">
        <f t="shared" si="17"/>
        <v>303.1310696337593</v>
      </c>
      <c r="J87" s="2">
        <f t="shared" si="18"/>
        <v>0.51998318129446441</v>
      </c>
      <c r="K87" s="2">
        <f t="shared" si="19"/>
        <v>-0.85417649884019176</v>
      </c>
      <c r="L87" s="4">
        <f t="shared" si="20"/>
        <v>-6.7250220939460967E-2</v>
      </c>
      <c r="M87" s="4">
        <f t="shared" si="21"/>
        <v>3.6271035561285497E-2</v>
      </c>
    </row>
    <row r="88" spans="1:13" x14ac:dyDescent="0.4">
      <c r="A88" s="1">
        <f t="shared" si="13"/>
        <v>4.2999999999999927</v>
      </c>
      <c r="B88" s="1">
        <f t="shared" si="23"/>
        <v>0.19073000000000001</v>
      </c>
      <c r="C88" s="1">
        <f t="shared" si="24"/>
        <v>1.0319999999999999E-2</v>
      </c>
      <c r="D88" s="1">
        <f t="shared" si="22"/>
        <v>0</v>
      </c>
      <c r="E88" s="1">
        <f t="shared" si="22"/>
        <v>0</v>
      </c>
      <c r="F88" s="1">
        <f t="shared" si="14"/>
        <v>0.100525</v>
      </c>
      <c r="G88" s="4">
        <f t="shared" si="15"/>
        <v>1.2565995681549071</v>
      </c>
      <c r="H88" s="4">
        <f t="shared" si="16"/>
        <v>5.3534652086090464</v>
      </c>
      <c r="I88" s="3">
        <f t="shared" si="17"/>
        <v>306.73096222342116</v>
      </c>
      <c r="J88" s="2">
        <f t="shared" si="18"/>
        <v>0.57258976246955995</v>
      </c>
      <c r="K88" s="2">
        <f t="shared" si="19"/>
        <v>-0.81984203595269067</v>
      </c>
      <c r="L88" s="4">
        <f t="shared" si="20"/>
        <v>-6.4372241645848344E-2</v>
      </c>
      <c r="M88" s="4">
        <f t="shared" si="21"/>
        <v>3.2150304528078287E-2</v>
      </c>
    </row>
    <row r="89" spans="1:13" x14ac:dyDescent="0.4">
      <c r="A89" s="1">
        <f t="shared" si="13"/>
        <v>4.3499999999999925</v>
      </c>
      <c r="B89" s="1">
        <f t="shared" si="23"/>
        <v>0.19073000000000001</v>
      </c>
      <c r="C89" s="1">
        <f t="shared" si="24"/>
        <v>1.0319999999999999E-2</v>
      </c>
      <c r="D89" s="1">
        <f t="shared" si="22"/>
        <v>0</v>
      </c>
      <c r="E89" s="1">
        <f t="shared" si="22"/>
        <v>0</v>
      </c>
      <c r="F89" s="1">
        <f t="shared" si="14"/>
        <v>0.100525</v>
      </c>
      <c r="G89" s="4">
        <f t="shared" si="15"/>
        <v>1.2565995681549071</v>
      </c>
      <c r="H89" s="4">
        <f t="shared" si="16"/>
        <v>5.4162951870167921</v>
      </c>
      <c r="I89" s="3">
        <f t="shared" si="17"/>
        <v>310.33085481308308</v>
      </c>
      <c r="J89" s="2">
        <f t="shared" si="18"/>
        <v>0.62293672824193347</v>
      </c>
      <c r="K89" s="2">
        <f t="shared" si="19"/>
        <v>-0.78227222410567254</v>
      </c>
      <c r="L89" s="4">
        <f t="shared" si="20"/>
        <v>-6.1241205915522325E-2</v>
      </c>
      <c r="M89" s="4">
        <f t="shared" si="21"/>
        <v>2.821840876166715E-2</v>
      </c>
    </row>
    <row r="90" spans="1:13" x14ac:dyDescent="0.4">
      <c r="A90" s="1">
        <f t="shared" si="13"/>
        <v>4.3999999999999924</v>
      </c>
      <c r="B90" s="1">
        <f t="shared" si="23"/>
        <v>0.19073000000000001</v>
      </c>
      <c r="C90" s="1">
        <f t="shared" si="24"/>
        <v>1.0319999999999999E-2</v>
      </c>
      <c r="D90" s="1">
        <f t="shared" si="22"/>
        <v>0</v>
      </c>
      <c r="E90" s="1">
        <f t="shared" si="22"/>
        <v>0</v>
      </c>
      <c r="F90" s="1">
        <f t="shared" si="14"/>
        <v>0.100525</v>
      </c>
      <c r="G90" s="4">
        <f t="shared" si="15"/>
        <v>1.2565995681549071</v>
      </c>
      <c r="H90" s="4">
        <f t="shared" si="16"/>
        <v>5.4791251654245379</v>
      </c>
      <c r="I90" s="3">
        <f t="shared" si="17"/>
        <v>313.93074740274506</v>
      </c>
      <c r="J90" s="2">
        <f t="shared" si="18"/>
        <v>0.67082539399164476</v>
      </c>
      <c r="K90" s="2">
        <f t="shared" si="19"/>
        <v>-0.74161532533784291</v>
      </c>
      <c r="L90" s="4">
        <f t="shared" si="20"/>
        <v>-5.7869469778971817E-2</v>
      </c>
      <c r="M90" s="4">
        <f t="shared" si="21"/>
        <v>2.4490864732687818E-2</v>
      </c>
    </row>
    <row r="91" spans="1:13" x14ac:dyDescent="0.4">
      <c r="A91" s="1">
        <f t="shared" si="13"/>
        <v>4.4499999999999922</v>
      </c>
      <c r="B91" s="1">
        <f t="shared" si="23"/>
        <v>0.19073000000000001</v>
      </c>
      <c r="C91" s="1">
        <f t="shared" si="24"/>
        <v>1.0319999999999999E-2</v>
      </c>
      <c r="D91" s="1">
        <f t="shared" si="22"/>
        <v>0</v>
      </c>
      <c r="E91" s="1">
        <f t="shared" si="22"/>
        <v>0</v>
      </c>
      <c r="F91" s="1">
        <f t="shared" si="14"/>
        <v>0.100525</v>
      </c>
      <c r="G91" s="4">
        <f t="shared" si="15"/>
        <v>1.2565995681549071</v>
      </c>
      <c r="H91" s="4">
        <f t="shared" si="16"/>
        <v>5.5419551438322836</v>
      </c>
      <c r="I91" s="3">
        <f t="shared" si="17"/>
        <v>317.53063999240698</v>
      </c>
      <c r="J91" s="2">
        <f t="shared" si="18"/>
        <v>0.71606677630711724</v>
      </c>
      <c r="K91" s="2">
        <f t="shared" si="19"/>
        <v>-0.69803178428287416</v>
      </c>
      <c r="L91" s="4">
        <f t="shared" si="20"/>
        <v>-5.4270339144558172E-2</v>
      </c>
      <c r="M91" s="4">
        <f t="shared" si="21"/>
        <v>2.0982382476936023E-2</v>
      </c>
    </row>
    <row r="92" spans="1:13" x14ac:dyDescent="0.4">
      <c r="A92" s="1">
        <f t="shared" si="13"/>
        <v>4.499999999999992</v>
      </c>
      <c r="B92" s="1">
        <f t="shared" si="23"/>
        <v>0.19073000000000001</v>
      </c>
      <c r="C92" s="1">
        <f t="shared" si="24"/>
        <v>1.0319999999999999E-2</v>
      </c>
      <c r="D92" s="1">
        <f t="shared" si="22"/>
        <v>0</v>
      </c>
      <c r="E92" s="1">
        <f t="shared" si="22"/>
        <v>0</v>
      </c>
      <c r="F92" s="1">
        <f t="shared" si="14"/>
        <v>0.100525</v>
      </c>
      <c r="G92" s="4">
        <f t="shared" si="15"/>
        <v>1.2565995681549071</v>
      </c>
      <c r="H92" s="4">
        <f t="shared" si="16"/>
        <v>5.6047851222400293</v>
      </c>
      <c r="I92" s="3">
        <f t="shared" si="17"/>
        <v>321.13053258206889</v>
      </c>
      <c r="J92" s="2">
        <f t="shared" si="18"/>
        <v>0.75848233877184557</v>
      </c>
      <c r="K92" s="2">
        <f t="shared" si="19"/>
        <v>-0.65169359500549895</v>
      </c>
      <c r="L92" s="4">
        <f t="shared" si="20"/>
        <v>-5.0458017289306184E-2</v>
      </c>
      <c r="M92" s="4">
        <f t="shared" si="21"/>
        <v>1.7706807545039633E-2</v>
      </c>
    </row>
    <row r="93" spans="1:13" x14ac:dyDescent="0.4">
      <c r="A93" s="1">
        <f t="shared" si="13"/>
        <v>4.5499999999999918</v>
      </c>
      <c r="B93" s="1">
        <f t="shared" si="23"/>
        <v>0.19073000000000001</v>
      </c>
      <c r="C93" s="1">
        <f t="shared" si="24"/>
        <v>1.0319999999999999E-2</v>
      </c>
      <c r="D93" s="1">
        <f t="shared" si="22"/>
        <v>0</v>
      </c>
      <c r="E93" s="1">
        <f t="shared" si="22"/>
        <v>0</v>
      </c>
      <c r="F93" s="1">
        <f t="shared" si="14"/>
        <v>0.100525</v>
      </c>
      <c r="G93" s="4">
        <f t="shared" si="15"/>
        <v>1.2565995681549071</v>
      </c>
      <c r="H93" s="4">
        <f t="shared" si="16"/>
        <v>5.6676151006477751</v>
      </c>
      <c r="I93" s="3">
        <f t="shared" si="17"/>
        <v>324.73042517173076</v>
      </c>
      <c r="J93" s="2">
        <f t="shared" si="18"/>
        <v>0.79790469652402507</v>
      </c>
      <c r="K93" s="2">
        <f t="shared" si="19"/>
        <v>-0.60278362226001414</v>
      </c>
      <c r="L93" s="4">
        <f t="shared" si="20"/>
        <v>-4.6447548808402302E-2</v>
      </c>
      <c r="M93" s="4">
        <f t="shared" si="21"/>
        <v>1.4677066363655237E-2</v>
      </c>
    </row>
    <row r="94" spans="1:13" x14ac:dyDescent="0.4">
      <c r="A94" s="1">
        <f t="shared" si="13"/>
        <v>4.5999999999999917</v>
      </c>
      <c r="B94" s="1">
        <f t="shared" si="23"/>
        <v>0.19073000000000001</v>
      </c>
      <c r="C94" s="1">
        <f t="shared" si="24"/>
        <v>1.0319999999999999E-2</v>
      </c>
      <c r="D94" s="1">
        <f t="shared" si="22"/>
        <v>0</v>
      </c>
      <c r="E94" s="1">
        <f t="shared" si="22"/>
        <v>0</v>
      </c>
      <c r="F94" s="1">
        <f t="shared" si="14"/>
        <v>0.100525</v>
      </c>
      <c r="G94" s="4">
        <f t="shared" si="15"/>
        <v>1.2565995681549071</v>
      </c>
      <c r="H94" s="4">
        <f t="shared" si="16"/>
        <v>5.7304450790555208</v>
      </c>
      <c r="I94" s="3">
        <f t="shared" si="17"/>
        <v>328.33031776139268</v>
      </c>
      <c r="J94" s="2">
        <f t="shared" si="18"/>
        <v>0.83417827680873446</v>
      </c>
      <c r="K94" s="2">
        <f t="shared" si="19"/>
        <v>-0.5514948798496776</v>
      </c>
      <c r="L94" s="4">
        <f t="shared" si="20"/>
        <v>-4.2254760244592397E-2</v>
      </c>
      <c r="M94" s="4">
        <f t="shared" si="21"/>
        <v>1.1905115223810794E-2</v>
      </c>
    </row>
    <row r="95" spans="1:13" x14ac:dyDescent="0.4">
      <c r="A95" s="1">
        <f t="shared" si="13"/>
        <v>4.6499999999999915</v>
      </c>
      <c r="B95" s="1">
        <f t="shared" si="23"/>
        <v>0.19073000000000001</v>
      </c>
      <c r="C95" s="1">
        <f t="shared" si="24"/>
        <v>1.0319999999999999E-2</v>
      </c>
      <c r="D95" s="1">
        <f t="shared" si="22"/>
        <v>0</v>
      </c>
      <c r="E95" s="1">
        <f t="shared" si="22"/>
        <v>0</v>
      </c>
      <c r="F95" s="1">
        <f t="shared" si="14"/>
        <v>0.100525</v>
      </c>
      <c r="G95" s="4">
        <f t="shared" si="15"/>
        <v>1.2565995681549071</v>
      </c>
      <c r="H95" s="4">
        <f t="shared" si="16"/>
        <v>5.7932750574632665</v>
      </c>
      <c r="I95" s="3">
        <f t="shared" si="17"/>
        <v>331.93021035105465</v>
      </c>
      <c r="J95" s="2">
        <f t="shared" si="18"/>
        <v>0.86715993291589155</v>
      </c>
      <c r="K95" s="2">
        <f t="shared" si="19"/>
        <v>-0.49802976893485645</v>
      </c>
      <c r="L95" s="4">
        <f t="shared" si="20"/>
        <v>-3.7896197631773897E-2</v>
      </c>
      <c r="M95" s="4">
        <f t="shared" si="21"/>
        <v>9.4018930977019712E-3</v>
      </c>
    </row>
    <row r="96" spans="1:13" x14ac:dyDescent="0.4">
      <c r="A96" s="1">
        <f t="shared" si="13"/>
        <v>4.6999999999999913</v>
      </c>
      <c r="B96" s="1">
        <f t="shared" si="23"/>
        <v>0.19073000000000001</v>
      </c>
      <c r="C96" s="1">
        <f t="shared" si="24"/>
        <v>1.0319999999999999E-2</v>
      </c>
      <c r="D96" s="1">
        <f t="shared" si="22"/>
        <v>0</v>
      </c>
      <c r="E96" s="1">
        <f t="shared" si="22"/>
        <v>0</v>
      </c>
      <c r="F96" s="1">
        <f t="shared" si="14"/>
        <v>0.100525</v>
      </c>
      <c r="G96" s="4">
        <f t="shared" si="15"/>
        <v>1.2565995681549071</v>
      </c>
      <c r="H96" s="4">
        <f t="shared" si="16"/>
        <v>5.8561050358710123</v>
      </c>
      <c r="I96" s="3">
        <f t="shared" si="17"/>
        <v>335.53010294071657</v>
      </c>
      <c r="J96" s="2">
        <f t="shared" si="18"/>
        <v>0.89671950908122877</v>
      </c>
      <c r="K96" s="2">
        <f t="shared" si="19"/>
        <v>-0.4425992792957531</v>
      </c>
      <c r="L96" s="4">
        <f t="shared" si="20"/>
        <v>-3.3389061199254368E-2</v>
      </c>
      <c r="M96" s="4">
        <f t="shared" si="21"/>
        <v>7.1772784701416917E-3</v>
      </c>
    </row>
    <row r="97" spans="1:13" x14ac:dyDescent="0.4">
      <c r="A97" s="1">
        <f t="shared" si="13"/>
        <v>4.7499999999999911</v>
      </c>
      <c r="B97" s="1">
        <f t="shared" si="23"/>
        <v>0.19073000000000001</v>
      </c>
      <c r="C97" s="1">
        <f t="shared" si="24"/>
        <v>1.0319999999999999E-2</v>
      </c>
      <c r="D97" s="1">
        <f t="shared" si="22"/>
        <v>0</v>
      </c>
      <c r="E97" s="1">
        <f t="shared" si="22"/>
        <v>0</v>
      </c>
      <c r="F97" s="1">
        <f t="shared" si="14"/>
        <v>0.100525</v>
      </c>
      <c r="G97" s="4">
        <f t="shared" si="15"/>
        <v>1.2565995681549071</v>
      </c>
      <c r="H97" s="4">
        <f t="shared" si="16"/>
        <v>5.918935014278758</v>
      </c>
      <c r="I97" s="3">
        <f t="shared" si="17"/>
        <v>339.12999553037849</v>
      </c>
      <c r="J97" s="2">
        <f t="shared" si="18"/>
        <v>0.92274035412098432</v>
      </c>
      <c r="K97" s="2">
        <f t="shared" si="19"/>
        <v>-0.38542215670181768</v>
      </c>
      <c r="L97" s="4">
        <f t="shared" si="20"/>
        <v>-2.8751137494353769E-2</v>
      </c>
      <c r="M97" s="4">
        <f t="shared" si="21"/>
        <v>5.2400503550191803E-3</v>
      </c>
    </row>
    <row r="98" spans="1:13" x14ac:dyDescent="0.4">
      <c r="A98" s="1">
        <f t="shared" si="13"/>
        <v>4.7999999999999909</v>
      </c>
      <c r="B98" s="1">
        <f t="shared" si="23"/>
        <v>0.19073000000000001</v>
      </c>
      <c r="C98" s="1">
        <f t="shared" si="24"/>
        <v>1.0319999999999999E-2</v>
      </c>
      <c r="D98" s="1">
        <f t="shared" si="22"/>
        <v>0</v>
      </c>
      <c r="E98" s="1">
        <f t="shared" si="22"/>
        <v>0</v>
      </c>
      <c r="F98" s="1">
        <f t="shared" si="14"/>
        <v>0.100525</v>
      </c>
      <c r="G98" s="4">
        <f t="shared" si="15"/>
        <v>1.2565995681549071</v>
      </c>
      <c r="H98" s="4">
        <f t="shared" si="16"/>
        <v>5.9817649926865037</v>
      </c>
      <c r="I98" s="3">
        <f t="shared" si="17"/>
        <v>342.72988812004041</v>
      </c>
      <c r="J98" s="2">
        <f t="shared" si="18"/>
        <v>0.94511978177337586</v>
      </c>
      <c r="K98" s="2">
        <f t="shared" si="19"/>
        <v>-0.32672403967361574</v>
      </c>
      <c r="L98" s="4">
        <f t="shared" si="20"/>
        <v>-2.4000729191215341E-2</v>
      </c>
      <c r="M98" s="4">
        <f t="shared" si="21"/>
        <v>3.5978536506096693E-3</v>
      </c>
    </row>
    <row r="99" spans="1:13" x14ac:dyDescent="0.4">
      <c r="A99" s="1">
        <f t="shared" si="13"/>
        <v>4.8499999999999908</v>
      </c>
      <c r="B99" s="1">
        <f t="shared" si="23"/>
        <v>0.19073000000000001</v>
      </c>
      <c r="C99" s="1">
        <f t="shared" si="24"/>
        <v>1.0319999999999999E-2</v>
      </c>
      <c r="D99" s="1">
        <f t="shared" si="22"/>
        <v>0</v>
      </c>
      <c r="E99" s="1">
        <f t="shared" si="22"/>
        <v>0</v>
      </c>
      <c r="F99" s="1">
        <f t="shared" si="14"/>
        <v>0.100525</v>
      </c>
      <c r="G99" s="4">
        <f t="shared" si="15"/>
        <v>1.2565995681549071</v>
      </c>
      <c r="H99" s="4">
        <f t="shared" si="16"/>
        <v>6.0445949710942495</v>
      </c>
      <c r="I99" s="3">
        <f t="shared" si="17"/>
        <v>346.32978070970239</v>
      </c>
      <c r="J99" s="2">
        <f t="shared" si="18"/>
        <v>0.96376947593018303</v>
      </c>
      <c r="K99" s="2">
        <f t="shared" si="19"/>
        <v>-0.26673656904380466</v>
      </c>
      <c r="L99" s="4">
        <f t="shared" si="20"/>
        <v>-1.9156582862821257E-2</v>
      </c>
      <c r="M99" s="4">
        <f t="shared" si="21"/>
        <v>2.2571689704532459E-3</v>
      </c>
    </row>
    <row r="100" spans="1:13" x14ac:dyDescent="0.4">
      <c r="A100" s="1">
        <f t="shared" si="13"/>
        <v>4.8999999999999906</v>
      </c>
      <c r="B100" s="1">
        <f t="shared" si="23"/>
        <v>0.19073000000000001</v>
      </c>
      <c r="C100" s="1">
        <f t="shared" si="24"/>
        <v>1.0319999999999999E-2</v>
      </c>
      <c r="D100" s="1">
        <f t="shared" si="22"/>
        <v>0</v>
      </c>
      <c r="E100" s="1">
        <f t="shared" si="22"/>
        <v>0</v>
      </c>
      <c r="F100" s="1">
        <f t="shared" si="14"/>
        <v>0.100525</v>
      </c>
      <c r="G100" s="4">
        <f t="shared" si="15"/>
        <v>1.2565995681549071</v>
      </c>
      <c r="H100" s="4">
        <f t="shared" si="16"/>
        <v>6.1074249495019952</v>
      </c>
      <c r="I100" s="3">
        <f t="shared" si="17"/>
        <v>349.92967329936425</v>
      </c>
      <c r="J100" s="2">
        <f t="shared" si="18"/>
        <v>0.97861583915929251</v>
      </c>
      <c r="K100" s="2">
        <f t="shared" si="19"/>
        <v>-0.205696473831113</v>
      </c>
      <c r="L100" s="4">
        <f t="shared" si="20"/>
        <v>-1.4237815001246863E-2</v>
      </c>
      <c r="M100" s="4">
        <f t="shared" si="21"/>
        <v>1.2232870688596142E-3</v>
      </c>
    </row>
    <row r="101" spans="1:13" x14ac:dyDescent="0.4">
      <c r="A101" s="1">
        <f t="shared" si="13"/>
        <v>4.9499999999999904</v>
      </c>
      <c r="B101" s="1">
        <f t="shared" si="23"/>
        <v>0.19073000000000001</v>
      </c>
      <c r="C101" s="1">
        <f t="shared" si="24"/>
        <v>1.0319999999999999E-2</v>
      </c>
      <c r="D101" s="1">
        <f t="shared" si="22"/>
        <v>0</v>
      </c>
      <c r="E101" s="1">
        <f t="shared" si="22"/>
        <v>0</v>
      </c>
      <c r="F101" s="1">
        <f t="shared" si="14"/>
        <v>0.100525</v>
      </c>
      <c r="G101" s="4">
        <f t="shared" si="15"/>
        <v>1.2565995681549071</v>
      </c>
      <c r="H101" s="4">
        <f t="shared" si="16"/>
        <v>6.1702549279097409</v>
      </c>
      <c r="I101" s="3">
        <f t="shared" si="17"/>
        <v>353.52956588902617</v>
      </c>
      <c r="J101" s="2">
        <f t="shared" si="18"/>
        <v>0.98960028314280868</v>
      </c>
      <c r="K101" s="2">
        <f t="shared" si="19"/>
        <v>-0.14384463703479877</v>
      </c>
      <c r="L101" s="4">
        <f t="shared" si="20"/>
        <v>-9.2638365781003203E-3</v>
      </c>
      <c r="M101" s="4">
        <f t="shared" si="21"/>
        <v>5.0028796196345678E-4</v>
      </c>
    </row>
    <row r="102" spans="1:13" x14ac:dyDescent="0.4">
      <c r="A102" s="1">
        <f t="shared" si="13"/>
        <v>4.9999999999999902</v>
      </c>
      <c r="B102" s="1">
        <f t="shared" ref="B102:C104" si="25">B101+D102*$P$3</f>
        <v>0.15023</v>
      </c>
      <c r="C102" s="1">
        <f t="shared" si="25"/>
        <v>9.7699999999999992E-3</v>
      </c>
      <c r="D102" s="1">
        <v>-0.81</v>
      </c>
      <c r="E102" s="1">
        <v>-1.0999999999999999E-2</v>
      </c>
      <c r="F102" s="1">
        <f t="shared" si="14"/>
        <v>0.08</v>
      </c>
      <c r="G102" s="4">
        <f t="shared" si="15"/>
        <v>0.97833809291634743</v>
      </c>
      <c r="H102" s="4">
        <f t="shared" si="16"/>
        <v>6.2191718325555581</v>
      </c>
      <c r="I102" s="3">
        <f t="shared" si="17"/>
        <v>356.33229807207545</v>
      </c>
      <c r="J102" s="2">
        <f t="shared" si="18"/>
        <v>0.99608891116942078</v>
      </c>
      <c r="K102" s="2">
        <f t="shared" si="19"/>
        <v>-8.8356556323329616E-2</v>
      </c>
      <c r="L102" s="4">
        <f t="shared" si="20"/>
        <v>-5.2794809334226374E-3</v>
      </c>
      <c r="M102" s="4">
        <f t="shared" si="21"/>
        <v>1.4686173667013833E-4</v>
      </c>
    </row>
    <row r="103" spans="1:13" x14ac:dyDescent="0.4">
      <c r="A103" s="1">
        <f t="shared" si="13"/>
        <v>5.0499999999999901</v>
      </c>
      <c r="B103" s="1">
        <f t="shared" si="25"/>
        <v>7.5229999999999991E-2</v>
      </c>
      <c r="C103" s="1">
        <f t="shared" si="25"/>
        <v>7.2699999999999987E-3</v>
      </c>
      <c r="D103" s="1">
        <v>-1.5</v>
      </c>
      <c r="E103" s="1">
        <v>-0.05</v>
      </c>
      <c r="F103" s="1">
        <f t="shared" si="14"/>
        <v>4.1249999999999995E-2</v>
      </c>
      <c r="G103" s="4">
        <f t="shared" si="15"/>
        <v>0.47335794386013785</v>
      </c>
      <c r="H103" s="4">
        <f t="shared" si="16"/>
        <v>6.2428397297485647</v>
      </c>
      <c r="I103" s="3">
        <f t="shared" si="17"/>
        <v>357.68836869118417</v>
      </c>
      <c r="J103" s="2">
        <f t="shared" si="18"/>
        <v>0.9986389573833766</v>
      </c>
      <c r="K103" s="2">
        <f t="shared" si="19"/>
        <v>-5.2155851025964622E-2</v>
      </c>
      <c r="L103" s="4">
        <f t="shared" si="20"/>
        <v>-3.2197880838194235E-3</v>
      </c>
      <c r="M103" s="4">
        <f t="shared" si="21"/>
        <v>3.9290293929086309E-5</v>
      </c>
    </row>
    <row r="104" spans="1:13" x14ac:dyDescent="0.4">
      <c r="A104" s="1">
        <f t="shared" si="13"/>
        <v>5.0999999999999899</v>
      </c>
      <c r="B104" s="1">
        <f t="shared" si="25"/>
        <v>2.2999999999998022E-4</v>
      </c>
      <c r="C104" s="1">
        <f t="shared" si="25"/>
        <v>4.7699999999999982E-3</v>
      </c>
      <c r="D104" s="1">
        <v>-1.5</v>
      </c>
      <c r="E104" s="1">
        <v>-0.05</v>
      </c>
      <c r="F104" s="1">
        <f t="shared" si="14"/>
        <v>2.4999999999999892E-3</v>
      </c>
      <c r="G104" s="4">
        <f t="shared" si="15"/>
        <v>-3.1622205196071729E-2</v>
      </c>
      <c r="H104" s="4">
        <f t="shared" si="16"/>
        <v>6.2412586194887609</v>
      </c>
      <c r="I104" s="3">
        <f t="shared" si="17"/>
        <v>357.59777774635262</v>
      </c>
      <c r="J104" s="2">
        <f t="shared" si="18"/>
        <v>0.99915402860381441</v>
      </c>
      <c r="K104" s="2">
        <f t="shared" si="19"/>
        <v>-4.1124531909409158E-2</v>
      </c>
      <c r="L104" s="4">
        <f t="shared" si="20"/>
        <v>-3.0948938302439474E-3</v>
      </c>
      <c r="M104" s="4">
        <f t="shared" si="21"/>
        <v>3.4149727440410183E-5</v>
      </c>
    </row>
    <row r="105" spans="1:13" x14ac:dyDescent="0.4">
      <c r="A105" s="1">
        <f t="shared" si="13"/>
        <v>5.1499999999999897</v>
      </c>
      <c r="B105" s="1">
        <f t="shared" si="23"/>
        <v>2.2999999999998022E-4</v>
      </c>
      <c r="C105" s="1">
        <f t="shared" si="24"/>
        <v>4.7699999999999982E-3</v>
      </c>
      <c r="D105" s="1">
        <f t="shared" si="22"/>
        <v>0</v>
      </c>
      <c r="E105" s="1">
        <f t="shared" si="22"/>
        <v>0</v>
      </c>
      <c r="F105" s="1">
        <f t="shared" si="14"/>
        <v>2.4999999999999892E-3</v>
      </c>
      <c r="G105" s="4">
        <f t="shared" si="15"/>
        <v>-3.1622205196071729E-2</v>
      </c>
      <c r="H105" s="4">
        <f t="shared" si="16"/>
        <v>6.2396775092289571</v>
      </c>
      <c r="I105" s="3">
        <f t="shared" si="17"/>
        <v>357.50718680152102</v>
      </c>
      <c r="J105" s="2">
        <f t="shared" si="18"/>
        <v>0.99908775731443389</v>
      </c>
      <c r="K105" s="2">
        <f t="shared" si="19"/>
        <v>-4.2704252533146844E-2</v>
      </c>
      <c r="L105" s="4">
        <f t="shared" si="20"/>
        <v>-2.9700078605796438E-3</v>
      </c>
      <c r="M105" s="4">
        <f t="shared" si="21"/>
        <v>2.8811695873766852E-5</v>
      </c>
    </row>
    <row r="106" spans="1:13" x14ac:dyDescent="0.4">
      <c r="A106" s="1">
        <f t="shared" si="13"/>
        <v>5.1999999999999895</v>
      </c>
      <c r="B106" s="1">
        <f t="shared" si="23"/>
        <v>2.2999999999998022E-4</v>
      </c>
      <c r="C106" s="1">
        <f t="shared" si="24"/>
        <v>4.7699999999999982E-3</v>
      </c>
      <c r="D106" s="1">
        <f t="shared" si="22"/>
        <v>0</v>
      </c>
      <c r="E106" s="1">
        <f t="shared" si="22"/>
        <v>0</v>
      </c>
      <c r="F106" s="1">
        <f t="shared" si="14"/>
        <v>2.4999999999999892E-3</v>
      </c>
      <c r="G106" s="4">
        <f t="shared" si="15"/>
        <v>-3.1622205196071729E-2</v>
      </c>
      <c r="H106" s="4">
        <f t="shared" si="16"/>
        <v>6.2380963989691534</v>
      </c>
      <c r="I106" s="3">
        <f t="shared" si="17"/>
        <v>357.41659585668941</v>
      </c>
      <c r="J106" s="2">
        <f t="shared" si="18"/>
        <v>0.99901898839644432</v>
      </c>
      <c r="K106" s="2">
        <f t="shared" si="19"/>
        <v>-4.4283866400135388E-2</v>
      </c>
      <c r="L106" s="4">
        <f t="shared" si="20"/>
        <v>-2.845130487030089E-3</v>
      </c>
      <c r="M106" s="4">
        <f t="shared" si="21"/>
        <v>2.3276212573749953E-5</v>
      </c>
    </row>
    <row r="107" spans="1:13" x14ac:dyDescent="0.4">
      <c r="A107" s="1">
        <f t="shared" si="13"/>
        <v>5.2499999999999893</v>
      </c>
      <c r="B107" s="1">
        <f t="shared" si="23"/>
        <v>2.2999999999998022E-4</v>
      </c>
      <c r="C107" s="1">
        <f t="shared" si="24"/>
        <v>4.7699999999999982E-3</v>
      </c>
      <c r="D107" s="1">
        <f t="shared" si="22"/>
        <v>0</v>
      </c>
      <c r="E107" s="1">
        <f t="shared" si="22"/>
        <v>0</v>
      </c>
      <c r="F107" s="1">
        <f t="shared" si="14"/>
        <v>2.4999999999999892E-3</v>
      </c>
      <c r="G107" s="4">
        <f t="shared" si="15"/>
        <v>-3.1622205196071729E-2</v>
      </c>
      <c r="H107" s="4">
        <f t="shared" si="16"/>
        <v>6.2365152887093496</v>
      </c>
      <c r="I107" s="3">
        <f t="shared" si="17"/>
        <v>357.32600491185786</v>
      </c>
      <c r="J107" s="2">
        <f t="shared" si="18"/>
        <v>0.99894772202176185</v>
      </c>
      <c r="K107" s="2">
        <f t="shared" si="19"/>
        <v>-4.5863369561480107E-2</v>
      </c>
      <c r="L107" s="4">
        <f t="shared" si="20"/>
        <v>-2.7202620217773692E-3</v>
      </c>
      <c r="M107" s="4">
        <f t="shared" si="21"/>
        <v>1.7543291378564964E-5</v>
      </c>
    </row>
    <row r="108" spans="1:13" x14ac:dyDescent="0.4">
      <c r="A108" s="1">
        <f t="shared" si="13"/>
        <v>5.2999999999999892</v>
      </c>
      <c r="B108" s="1">
        <f t="shared" si="23"/>
        <v>2.2999999999998022E-4</v>
      </c>
      <c r="C108" s="1">
        <f t="shared" si="24"/>
        <v>4.7699999999999982E-3</v>
      </c>
      <c r="D108" s="1">
        <f t="shared" si="22"/>
        <v>0</v>
      </c>
      <c r="E108" s="1">
        <f t="shared" si="22"/>
        <v>0</v>
      </c>
      <c r="F108" s="1">
        <f t="shared" si="14"/>
        <v>2.4999999999999892E-3</v>
      </c>
      <c r="G108" s="4">
        <f t="shared" si="15"/>
        <v>-3.1622205196071729E-2</v>
      </c>
      <c r="H108" s="4">
        <f t="shared" si="16"/>
        <v>6.2349341784495458</v>
      </c>
      <c r="I108" s="3">
        <f t="shared" si="17"/>
        <v>357.23541396702626</v>
      </c>
      <c r="J108" s="2">
        <f t="shared" si="18"/>
        <v>0.99887395836854564</v>
      </c>
      <c r="K108" s="2">
        <f t="shared" si="19"/>
        <v>-4.7442758068570165E-2</v>
      </c>
      <c r="L108" s="4">
        <f t="shared" si="20"/>
        <v>-2.5954027769813015E-3</v>
      </c>
      <c r="M108" s="4">
        <f t="shared" si="21"/>
        <v>1.1612946619993719E-5</v>
      </c>
    </row>
    <row r="109" spans="1:13" x14ac:dyDescent="0.4">
      <c r="A109" s="1">
        <f t="shared" si="13"/>
        <v>5.349999999999989</v>
      </c>
      <c r="B109" s="1">
        <f t="shared" si="23"/>
        <v>2.2999999999998022E-4</v>
      </c>
      <c r="C109" s="1">
        <f t="shared" si="24"/>
        <v>4.7699999999999982E-3</v>
      </c>
      <c r="D109" s="1">
        <f t="shared" si="22"/>
        <v>0</v>
      </c>
      <c r="E109" s="1">
        <f t="shared" si="22"/>
        <v>0</v>
      </c>
      <c r="F109" s="1">
        <f t="shared" si="14"/>
        <v>2.4999999999999892E-3</v>
      </c>
      <c r="G109" s="4">
        <f t="shared" si="15"/>
        <v>-3.1622205196071729E-2</v>
      </c>
      <c r="H109" s="4">
        <f t="shared" si="16"/>
        <v>6.233353068189742</v>
      </c>
      <c r="I109" s="3">
        <f t="shared" si="17"/>
        <v>357.14482302219471</v>
      </c>
      <c r="J109" s="2">
        <f t="shared" si="18"/>
        <v>0.99879769762119852</v>
      </c>
      <c r="K109" s="2">
        <f t="shared" si="19"/>
        <v>-4.902202797307427E-2</v>
      </c>
      <c r="L109" s="4">
        <f t="shared" si="20"/>
        <v>-2.4705530647786524E-3</v>
      </c>
      <c r="M109" s="4">
        <f t="shared" si="21"/>
        <v>5.4851931233594615E-6</v>
      </c>
    </row>
    <row r="110" spans="1:13" x14ac:dyDescent="0.4">
      <c r="A110" s="1">
        <f t="shared" si="13"/>
        <v>5.3999999999999888</v>
      </c>
      <c r="B110" s="1">
        <f t="shared" si="23"/>
        <v>2.2999999999998022E-4</v>
      </c>
      <c r="C110" s="1">
        <f t="shared" si="24"/>
        <v>4.7699999999999982E-3</v>
      </c>
      <c r="D110" s="1">
        <f t="shared" si="22"/>
        <v>0</v>
      </c>
      <c r="E110" s="1">
        <f t="shared" si="22"/>
        <v>0</v>
      </c>
      <c r="F110" s="1">
        <f t="shared" si="14"/>
        <v>2.4999999999999892E-3</v>
      </c>
      <c r="G110" s="4">
        <f t="shared" si="15"/>
        <v>-3.1622205196071729E-2</v>
      </c>
      <c r="H110" s="4">
        <f t="shared" si="16"/>
        <v>6.2317719579299382</v>
      </c>
      <c r="I110" s="3">
        <f t="shared" si="17"/>
        <v>357.05423207736305</v>
      </c>
      <c r="J110" s="2">
        <f t="shared" si="18"/>
        <v>0.99871893997036509</v>
      </c>
      <c r="K110" s="2">
        <f t="shared" si="19"/>
        <v>-5.0601175326964704E-2</v>
      </c>
      <c r="L110" s="4">
        <f t="shared" si="20"/>
        <v>-2.3457131972823573E-3</v>
      </c>
      <c r="M110" s="4">
        <f t="shared" si="21"/>
        <v>-8.3995379251109935E-7</v>
      </c>
    </row>
    <row r="111" spans="1:13" x14ac:dyDescent="0.4">
      <c r="A111" s="1">
        <f t="shared" si="13"/>
        <v>5.4499999999999886</v>
      </c>
      <c r="B111" s="1">
        <f t="shared" si="23"/>
        <v>2.2999999999998022E-4</v>
      </c>
      <c r="C111" s="1">
        <f t="shared" si="24"/>
        <v>4.7699999999999982E-3</v>
      </c>
      <c r="D111" s="1">
        <f t="shared" si="22"/>
        <v>0</v>
      </c>
      <c r="E111" s="1">
        <f t="shared" si="22"/>
        <v>0</v>
      </c>
      <c r="F111" s="1">
        <f t="shared" si="14"/>
        <v>2.4999999999999892E-3</v>
      </c>
      <c r="G111" s="4">
        <f t="shared" si="15"/>
        <v>-3.1622205196071729E-2</v>
      </c>
      <c r="H111" s="4">
        <f t="shared" si="16"/>
        <v>6.2301908476701344</v>
      </c>
      <c r="I111" s="3">
        <f t="shared" si="17"/>
        <v>356.96364113253145</v>
      </c>
      <c r="J111" s="2">
        <f t="shared" si="18"/>
        <v>0.99863768561293265</v>
      </c>
      <c r="K111" s="2">
        <f t="shared" si="19"/>
        <v>-5.2180196182513031E-2</v>
      </c>
      <c r="L111" s="4">
        <f t="shared" si="20"/>
        <v>-2.2208834865807413E-3</v>
      </c>
      <c r="M111" s="4">
        <f t="shared" si="21"/>
        <v>-7.3624783153252001E-6</v>
      </c>
    </row>
    <row r="112" spans="1:13" x14ac:dyDescent="0.4">
      <c r="A112" s="1">
        <f t="shared" si="13"/>
        <v>5.4999999999999885</v>
      </c>
      <c r="B112" s="1">
        <f t="shared" si="23"/>
        <v>2.2999999999998022E-4</v>
      </c>
      <c r="C112" s="1">
        <f t="shared" si="24"/>
        <v>4.7699999999999982E-3</v>
      </c>
      <c r="D112" s="1">
        <f t="shared" si="22"/>
        <v>0</v>
      </c>
      <c r="E112" s="1">
        <f t="shared" si="22"/>
        <v>0</v>
      </c>
      <c r="F112" s="1">
        <f t="shared" si="14"/>
        <v>2.4999999999999892E-3</v>
      </c>
      <c r="G112" s="4">
        <f t="shared" si="15"/>
        <v>-3.1622205196071729E-2</v>
      </c>
      <c r="H112" s="4">
        <f t="shared" si="16"/>
        <v>6.2286097374103306</v>
      </c>
      <c r="I112" s="3">
        <f t="shared" si="17"/>
        <v>356.8730501876999</v>
      </c>
      <c r="J112" s="2">
        <f t="shared" si="18"/>
        <v>0.99855393475202936</v>
      </c>
      <c r="K112" s="2">
        <f t="shared" si="19"/>
        <v>-5.375908659231414E-2</v>
      </c>
      <c r="L112" s="4">
        <f t="shared" si="20"/>
        <v>-2.0960642447367382E-3</v>
      </c>
      <c r="M112" s="4">
        <f t="shared" si="21"/>
        <v>-1.4082364139364439E-5</v>
      </c>
    </row>
    <row r="113" spans="1:14" x14ac:dyDescent="0.4">
      <c r="A113" s="1">
        <f t="shared" si="13"/>
        <v>5.5499999999999883</v>
      </c>
      <c r="B113" s="1">
        <f t="shared" si="23"/>
        <v>2.2999999999998022E-4</v>
      </c>
      <c r="C113" s="1">
        <f t="shared" si="24"/>
        <v>4.7699999999999982E-3</v>
      </c>
      <c r="D113" s="1">
        <f t="shared" si="22"/>
        <v>0</v>
      </c>
      <c r="E113" s="1">
        <f t="shared" si="22"/>
        <v>0</v>
      </c>
      <c r="F113" s="1">
        <f t="shared" si="14"/>
        <v>2.4999999999999892E-3</v>
      </c>
      <c r="G113" s="4">
        <f t="shared" si="15"/>
        <v>-3.1622205196071729E-2</v>
      </c>
      <c r="H113" s="4">
        <f t="shared" si="16"/>
        <v>6.2270286271505269</v>
      </c>
      <c r="I113" s="3">
        <f t="shared" si="17"/>
        <v>356.7824592428683</v>
      </c>
      <c r="J113" s="2">
        <f t="shared" si="18"/>
        <v>0.99846768759702498</v>
      </c>
      <c r="K113" s="2">
        <f t="shared" si="19"/>
        <v>-5.5337842609281929E-2</v>
      </c>
      <c r="L113" s="4">
        <f t="shared" si="20"/>
        <v>-1.9712557837871106E-3</v>
      </c>
      <c r="M113" s="4">
        <f t="shared" si="21"/>
        <v>-2.0999594465524651E-5</v>
      </c>
      <c r="N113" t="s">
        <v>40</v>
      </c>
    </row>
    <row r="114" spans="1:14" x14ac:dyDescent="0.4">
      <c r="A114" s="1">
        <f>A113+$P$3</f>
        <v>5.5999999999999881</v>
      </c>
      <c r="B114" s="1">
        <f t="shared" si="23"/>
        <v>2.2999999999998022E-4</v>
      </c>
      <c r="C114" s="1">
        <f t="shared" si="24"/>
        <v>4.7699999999999982E-3</v>
      </c>
      <c r="D114" s="1">
        <f t="shared" si="22"/>
        <v>0</v>
      </c>
      <c r="E114" s="1">
        <f>(C114-C113)/$P$3</f>
        <v>0</v>
      </c>
      <c r="F114" s="1">
        <f t="shared" si="14"/>
        <v>2.4999999999999892E-3</v>
      </c>
      <c r="G114" s="4">
        <f t="shared" si="15"/>
        <v>-3.1622205196071729E-2</v>
      </c>
      <c r="H114" s="4">
        <f>H113+G114*P$3</f>
        <v>6.2254475168907231</v>
      </c>
      <c r="I114" s="3">
        <f t="shared" si="17"/>
        <v>356.6918682980367</v>
      </c>
      <c r="J114" s="2">
        <f>COS((H114+H113)/2)</f>
        <v>0.99837894436352947</v>
      </c>
      <c r="K114" s="2">
        <f>SIN((H114+H113)/2)</f>
        <v>-5.6916460286673361E-2</v>
      </c>
      <c r="L114" s="4">
        <f>L113+F114*P$3*J114</f>
        <v>-1.8464584157416699E-3</v>
      </c>
      <c r="M114" s="4">
        <f>M113+F114*P$3*K114</f>
        <v>-2.8114152001358791E-5</v>
      </c>
      <c r="N114" t="s">
        <v>41</v>
      </c>
    </row>
    <row r="115" spans="1:14" x14ac:dyDescent="0.4">
      <c r="A115" s="1">
        <f t="shared" si="13"/>
        <v>5.6499999999999879</v>
      </c>
      <c r="B115" s="1">
        <f t="shared" si="23"/>
        <v>2.2999999999998022E-4</v>
      </c>
      <c r="C115" s="1">
        <f t="shared" si="24"/>
        <v>4.7699999999999982E-3</v>
      </c>
      <c r="D115" s="1">
        <f>(B115-B114)/$P$3</f>
        <v>0</v>
      </c>
      <c r="E115" s="1">
        <f t="shared" si="22"/>
        <v>0</v>
      </c>
      <c r="F115" s="1">
        <f t="shared" si="14"/>
        <v>2.4999999999999892E-3</v>
      </c>
      <c r="G115" s="4">
        <f t="shared" si="15"/>
        <v>-3.1622205196071729E-2</v>
      </c>
      <c r="H115" s="4">
        <f t="shared" si="16"/>
        <v>6.2238664066309193</v>
      </c>
      <c r="I115" s="3">
        <f t="shared" si="17"/>
        <v>356.60127735320515</v>
      </c>
      <c r="J115" s="2">
        <f t="shared" si="18"/>
        <v>0.99828770527339306</v>
      </c>
      <c r="K115" s="2">
        <f t="shared" si="19"/>
        <v>-5.8494935678084142E-2</v>
      </c>
      <c r="L115" s="4">
        <f t="shared" si="20"/>
        <v>-1.7216724525824963E-3</v>
      </c>
      <c r="M115" s="4">
        <f t="shared" si="21"/>
        <v>-3.5426018961119278E-5</v>
      </c>
    </row>
    <row r="116" spans="1:14" x14ac:dyDescent="0.4">
      <c r="A116" s="1">
        <f t="shared" si="13"/>
        <v>5.6999999999999877</v>
      </c>
      <c r="B116" s="1">
        <f t="shared" si="23"/>
        <v>2.2999999999998022E-4</v>
      </c>
      <c r="C116" s="1">
        <f t="shared" si="24"/>
        <v>4.7699999999999982E-3</v>
      </c>
      <c r="D116" s="1">
        <f t="shared" si="22"/>
        <v>0</v>
      </c>
      <c r="E116" s="1">
        <f t="shared" si="22"/>
        <v>0</v>
      </c>
      <c r="F116" s="1">
        <f t="shared" si="14"/>
        <v>2.4999999999999892E-3</v>
      </c>
      <c r="G116" s="4">
        <f t="shared" si="15"/>
        <v>-3.1622205196071729E-2</v>
      </c>
      <c r="H116" s="4">
        <f t="shared" si="16"/>
        <v>6.2222852963711155</v>
      </c>
      <c r="I116" s="3">
        <f t="shared" si="17"/>
        <v>356.51068640837354</v>
      </c>
      <c r="J116" s="2">
        <f t="shared" si="18"/>
        <v>0.99819397055470482</v>
      </c>
      <c r="K116" s="2">
        <f t="shared" si="19"/>
        <v>-6.0073264837472766E-2</v>
      </c>
      <c r="L116" s="4">
        <f t="shared" si="20"/>
        <v>-1.5968982062631587E-3</v>
      </c>
      <c r="M116" s="4">
        <f t="shared" si="21"/>
        <v>-4.2935177065803339E-5</v>
      </c>
    </row>
    <row r="117" spans="1:14" x14ac:dyDescent="0.4">
      <c r="A117" s="1">
        <f t="shared" si="13"/>
        <v>5.7499999999999876</v>
      </c>
      <c r="B117" s="1">
        <f t="shared" si="23"/>
        <v>2.2999999999998022E-4</v>
      </c>
      <c r="C117" s="1">
        <f t="shared" si="24"/>
        <v>4.7699999999999982E-3</v>
      </c>
      <c r="D117" s="1">
        <f t="shared" si="22"/>
        <v>0</v>
      </c>
      <c r="E117" s="1">
        <f t="shared" si="22"/>
        <v>0</v>
      </c>
      <c r="F117" s="1">
        <f t="shared" si="14"/>
        <v>2.4999999999999892E-3</v>
      </c>
      <c r="G117" s="4">
        <f t="shared" si="15"/>
        <v>-3.1622205196071729E-2</v>
      </c>
      <c r="H117" s="4">
        <f t="shared" si="16"/>
        <v>6.2207041861113117</v>
      </c>
      <c r="I117" s="3">
        <f t="shared" si="17"/>
        <v>356.42009546354188</v>
      </c>
      <c r="J117" s="2">
        <f t="shared" si="18"/>
        <v>0.99809774044179334</v>
      </c>
      <c r="K117" s="2">
        <f t="shared" si="19"/>
        <v>-6.1651443819156208E-2</v>
      </c>
      <c r="L117" s="4">
        <f t="shared" si="20"/>
        <v>-1.472135988707935E-3</v>
      </c>
      <c r="M117" s="4">
        <f t="shared" si="21"/>
        <v>-5.064160754319783E-5</v>
      </c>
    </row>
    <row r="118" spans="1:14" x14ac:dyDescent="0.4">
      <c r="A118" s="1">
        <f t="shared" si="13"/>
        <v>5.7999999999999874</v>
      </c>
      <c r="B118" s="1">
        <f t="shared" si="23"/>
        <v>2.2999999999998022E-4</v>
      </c>
      <c r="C118" s="1">
        <f t="shared" si="24"/>
        <v>4.7699999999999982E-3</v>
      </c>
      <c r="D118" s="1">
        <f t="shared" si="22"/>
        <v>0</v>
      </c>
      <c r="E118" s="1">
        <f t="shared" si="22"/>
        <v>0</v>
      </c>
      <c r="F118" s="1">
        <f t="shared" si="14"/>
        <v>2.4999999999999892E-3</v>
      </c>
      <c r="G118" s="4">
        <f t="shared" si="15"/>
        <v>-3.1622205196071729E-2</v>
      </c>
      <c r="H118" s="4">
        <f t="shared" si="16"/>
        <v>6.2191230758515079</v>
      </c>
      <c r="I118" s="3">
        <f t="shared" si="17"/>
        <v>356.32950451871034</v>
      </c>
      <c r="J118" s="2">
        <f t="shared" si="18"/>
        <v>0.99799901517522493</v>
      </c>
      <c r="K118" s="2">
        <f t="shared" si="19"/>
        <v>-6.3229468677833967E-2</v>
      </c>
      <c r="L118" s="4">
        <f t="shared" si="20"/>
        <v>-1.3473861118110326E-3</v>
      </c>
      <c r="M118" s="4">
        <f t="shared" si="21"/>
        <v>-5.8545291127927039E-5</v>
      </c>
    </row>
    <row r="119" spans="1:14" x14ac:dyDescent="0.4">
      <c r="A119" s="1">
        <f t="shared" si="13"/>
        <v>5.8499999999999872</v>
      </c>
      <c r="B119" s="1">
        <f t="shared" si="23"/>
        <v>2.2999999999998022E-4</v>
      </c>
      <c r="C119" s="1">
        <f t="shared" si="24"/>
        <v>4.7699999999999982E-3</v>
      </c>
      <c r="D119" s="1">
        <f t="shared" si="22"/>
        <v>0</v>
      </c>
      <c r="E119" s="1">
        <f t="shared" si="22"/>
        <v>0</v>
      </c>
      <c r="F119" s="1">
        <f t="shared" si="14"/>
        <v>2.4999999999999892E-3</v>
      </c>
      <c r="G119" s="4">
        <f t="shared" si="15"/>
        <v>-3.1622205196071729E-2</v>
      </c>
      <c r="H119" s="4">
        <f t="shared" si="16"/>
        <v>6.2175419655917041</v>
      </c>
      <c r="I119" s="3">
        <f t="shared" si="17"/>
        <v>356.23891357387873</v>
      </c>
      <c r="J119" s="2">
        <f t="shared" si="18"/>
        <v>0.99789779500180398</v>
      </c>
      <c r="K119" s="2">
        <f t="shared" si="19"/>
        <v>-6.4807335468583735E-2</v>
      </c>
      <c r="L119" s="4">
        <f t="shared" si="20"/>
        <v>-1.2226488874358076E-3</v>
      </c>
      <c r="M119" s="4">
        <f t="shared" si="21"/>
        <v>-6.6646208061499966E-5</v>
      </c>
    </row>
    <row r="120" spans="1:14" x14ac:dyDescent="0.4">
      <c r="A120" s="1">
        <f t="shared" si="13"/>
        <v>5.899999999999987</v>
      </c>
      <c r="B120" s="1">
        <f t="shared" si="23"/>
        <v>2.2999999999998022E-4</v>
      </c>
      <c r="C120" s="1">
        <f t="shared" si="24"/>
        <v>4.7699999999999982E-3</v>
      </c>
      <c r="D120" s="1">
        <f t="shared" si="22"/>
        <v>0</v>
      </c>
      <c r="E120" s="1">
        <f t="shared" si="22"/>
        <v>0</v>
      </c>
      <c r="F120" s="1">
        <f t="shared" si="14"/>
        <v>2.4999999999999892E-3</v>
      </c>
      <c r="G120" s="4">
        <f t="shared" si="15"/>
        <v>-3.1622205196071729E-2</v>
      </c>
      <c r="H120" s="4">
        <f t="shared" si="16"/>
        <v>6.2159608553319003</v>
      </c>
      <c r="I120" s="3">
        <f t="shared" si="17"/>
        <v>356.14832262904719</v>
      </c>
      <c r="J120" s="2">
        <f t="shared" si="18"/>
        <v>0.99779408017457161</v>
      </c>
      <c r="K120" s="2">
        <f t="shared" si="19"/>
        <v>-6.6385040246885463E-2</v>
      </c>
      <c r="L120" s="4">
        <f t="shared" si="20"/>
        <v>-1.0979246274139868E-3</v>
      </c>
      <c r="M120" s="4">
        <f t="shared" si="21"/>
        <v>-7.4944338092360619E-5</v>
      </c>
    </row>
    <row r="121" spans="1:14" x14ac:dyDescent="0.4">
      <c r="A121" s="1">
        <f t="shared" si="13"/>
        <v>5.9499999999999869</v>
      </c>
      <c r="B121" s="1">
        <f t="shared" si="23"/>
        <v>2.2999999999998022E-4</v>
      </c>
      <c r="C121" s="1">
        <f t="shared" si="24"/>
        <v>4.7699999999999982E-3</v>
      </c>
      <c r="D121" s="1">
        <f t="shared" si="22"/>
        <v>0</v>
      </c>
      <c r="E121" s="1">
        <f t="shared" si="22"/>
        <v>0</v>
      </c>
      <c r="F121" s="1">
        <f t="shared" si="14"/>
        <v>2.4999999999999892E-3</v>
      </c>
      <c r="G121" s="4">
        <f t="shared" si="15"/>
        <v>-3.1622205196071729E-2</v>
      </c>
      <c r="H121" s="4">
        <f t="shared" si="16"/>
        <v>6.2143797450720966</v>
      </c>
      <c r="I121" s="3">
        <f t="shared" si="17"/>
        <v>356.05773168421558</v>
      </c>
      <c r="J121" s="2">
        <f t="shared" si="18"/>
        <v>0.99768787095280553</v>
      </c>
      <c r="K121" s="2">
        <f t="shared" si="19"/>
        <v>-6.7962579068617024E-2</v>
      </c>
      <c r="L121" s="4">
        <f t="shared" si="20"/>
        <v>-9.7321364354488666E-4</v>
      </c>
      <c r="M121" s="4">
        <f t="shared" si="21"/>
        <v>-8.3439660475937707E-5</v>
      </c>
    </row>
    <row r="122" spans="1:14" x14ac:dyDescent="0.4">
      <c r="A122" s="1">
        <f t="shared" si="13"/>
        <v>5.9999999999999867</v>
      </c>
      <c r="B122" s="1">
        <f t="shared" si="23"/>
        <v>2.2999999999998022E-4</v>
      </c>
      <c r="C122" s="1">
        <f t="shared" si="24"/>
        <v>4.7699999999999982E-3</v>
      </c>
      <c r="D122" s="1">
        <f t="shared" si="22"/>
        <v>0</v>
      </c>
      <c r="E122" s="1">
        <f t="shared" si="22"/>
        <v>0</v>
      </c>
      <c r="F122" s="1">
        <f t="shared" si="14"/>
        <v>2.4999999999999892E-3</v>
      </c>
      <c r="G122" s="4">
        <f t="shared" si="15"/>
        <v>-3.1622205196071729E-2</v>
      </c>
      <c r="H122" s="4">
        <f t="shared" si="16"/>
        <v>6.2127986348122928</v>
      </c>
      <c r="I122" s="3">
        <f t="shared" si="17"/>
        <v>355.96714073938404</v>
      </c>
      <c r="J122" s="2">
        <f t="shared" si="18"/>
        <v>0.99757916760201903</v>
      </c>
      <c r="K122" s="2">
        <f t="shared" si="19"/>
        <v>-6.9539947990078246E-2</v>
      </c>
      <c r="L122" s="4">
        <f t="shared" si="20"/>
        <v>-8.485162475946348E-4</v>
      </c>
      <c r="M122" s="4">
        <f t="shared" si="21"/>
        <v>-9.2132153974697445E-5</v>
      </c>
    </row>
    <row r="123" spans="1:14" x14ac:dyDescent="0.4">
      <c r="A123" s="1">
        <f t="shared" si="13"/>
        <v>6.0499999999999865</v>
      </c>
      <c r="B123" s="1">
        <f t="shared" si="23"/>
        <v>2.2999999999998022E-4</v>
      </c>
      <c r="C123" s="1">
        <f t="shared" si="24"/>
        <v>4.7699999999999982E-3</v>
      </c>
      <c r="D123" s="1">
        <f t="shared" si="22"/>
        <v>0</v>
      </c>
      <c r="E123" s="1">
        <f t="shared" si="22"/>
        <v>0</v>
      </c>
      <c r="F123" s="1">
        <f t="shared" si="14"/>
        <v>2.4999999999999892E-3</v>
      </c>
      <c r="G123" s="4">
        <f t="shared" si="15"/>
        <v>-3.1622205196071729E-2</v>
      </c>
      <c r="H123" s="4">
        <f t="shared" si="16"/>
        <v>6.211217524552489</v>
      </c>
      <c r="I123" s="3">
        <f t="shared" si="17"/>
        <v>355.87654979455243</v>
      </c>
      <c r="J123" s="2">
        <f t="shared" si="18"/>
        <v>0.99746797039396085</v>
      </c>
      <c r="K123" s="2">
        <f t="shared" si="19"/>
        <v>-7.1117143067986624E-2</v>
      </c>
      <c r="L123" s="4">
        <f t="shared" si="20"/>
        <v>-7.2383275129539026E-4</v>
      </c>
      <c r="M123" s="4">
        <f t="shared" si="21"/>
        <v>-1.0102179685819574E-4</v>
      </c>
    </row>
    <row r="124" spans="1:14" x14ac:dyDescent="0.4">
      <c r="A124" s="1">
        <f t="shared" si="13"/>
        <v>6.0999999999999863</v>
      </c>
      <c r="B124" s="1">
        <f t="shared" si="23"/>
        <v>2.2999999999998022E-4</v>
      </c>
      <c r="C124" s="1">
        <f t="shared" si="24"/>
        <v>4.7699999999999982E-3</v>
      </c>
      <c r="D124" s="1">
        <f t="shared" si="22"/>
        <v>0</v>
      </c>
      <c r="E124" s="1">
        <f t="shared" si="22"/>
        <v>0</v>
      </c>
      <c r="F124" s="1">
        <f t="shared" si="14"/>
        <v>2.4999999999999892E-3</v>
      </c>
      <c r="G124" s="4">
        <f t="shared" si="15"/>
        <v>-3.1622205196071729E-2</v>
      </c>
      <c r="H124" s="4">
        <f t="shared" si="16"/>
        <v>6.2096364142926852</v>
      </c>
      <c r="I124" s="3">
        <f t="shared" si="17"/>
        <v>355.78595884972077</v>
      </c>
      <c r="J124" s="2">
        <f t="shared" si="18"/>
        <v>0.9973542796066136</v>
      </c>
      <c r="K124" s="2">
        <f t="shared" si="19"/>
        <v>-7.2694160359501311E-2</v>
      </c>
      <c r="L124" s="4">
        <f t="shared" si="20"/>
        <v>-5.9916346634456409E-4</v>
      </c>
      <c r="M124" s="4">
        <f t="shared" si="21"/>
        <v>-1.1010856690313336E-4</v>
      </c>
    </row>
    <row r="125" spans="1:14" x14ac:dyDescent="0.4">
      <c r="A125" s="1">
        <f t="shared" si="13"/>
        <v>6.1499999999999861</v>
      </c>
      <c r="B125" s="1">
        <f t="shared" si="23"/>
        <v>2.2999999999998022E-4</v>
      </c>
      <c r="C125" s="1">
        <f t="shared" si="24"/>
        <v>4.7699999999999982E-3</v>
      </c>
      <c r="D125" s="1">
        <f t="shared" si="22"/>
        <v>0</v>
      </c>
      <c r="E125" s="1">
        <f t="shared" si="22"/>
        <v>0</v>
      </c>
      <c r="F125" s="1">
        <f t="shared" si="14"/>
        <v>2.4999999999999892E-3</v>
      </c>
      <c r="G125" s="4">
        <f t="shared" si="15"/>
        <v>-3.1622205196071729E-2</v>
      </c>
      <c r="H125" s="4">
        <f t="shared" si="16"/>
        <v>6.2080553040328814</v>
      </c>
      <c r="I125" s="3">
        <f t="shared" si="17"/>
        <v>355.69536790488922</v>
      </c>
      <c r="J125" s="2">
        <f t="shared" si="18"/>
        <v>0.99723809552419418</v>
      </c>
      <c r="K125" s="2">
        <f t="shared" si="19"/>
        <v>-7.4270995922218835E-2</v>
      </c>
      <c r="L125" s="4">
        <f t="shared" si="20"/>
        <v>-4.7450870440404036E-4</v>
      </c>
      <c r="M125" s="4">
        <f t="shared" si="21"/>
        <v>-1.1939244139341067E-4</v>
      </c>
    </row>
    <row r="126" spans="1:14" x14ac:dyDescent="0.4">
      <c r="A126" s="1">
        <f t="shared" si="13"/>
        <v>6.199999999999986</v>
      </c>
      <c r="B126" s="1">
        <f t="shared" si="23"/>
        <v>2.2999999999998022E-4</v>
      </c>
      <c r="C126" s="1">
        <f t="shared" si="24"/>
        <v>4.7699999999999982E-3</v>
      </c>
      <c r="D126" s="1">
        <f t="shared" si="22"/>
        <v>0</v>
      </c>
      <c r="E126" s="1">
        <f t="shared" si="22"/>
        <v>0</v>
      </c>
      <c r="F126" s="1">
        <f t="shared" si="14"/>
        <v>2.4999999999999892E-3</v>
      </c>
      <c r="G126" s="4">
        <f t="shared" si="15"/>
        <v>-3.1622205196071729E-2</v>
      </c>
      <c r="H126" s="4">
        <f t="shared" si="16"/>
        <v>6.2064741937730776</v>
      </c>
      <c r="I126" s="3">
        <f t="shared" si="17"/>
        <v>355.60477696005762</v>
      </c>
      <c r="J126" s="2">
        <f t="shared" si="18"/>
        <v>0.99711941843715191</v>
      </c>
      <c r="K126" s="2">
        <f t="shared" si="19"/>
        <v>-7.5847645814197118E-2</v>
      </c>
      <c r="L126" s="4">
        <f t="shared" si="20"/>
        <v>-3.4986877709939691E-4</v>
      </c>
      <c r="M126" s="4">
        <f t="shared" si="21"/>
        <v>-1.2887339712018526E-4</v>
      </c>
    </row>
    <row r="127" spans="1:14" x14ac:dyDescent="0.4">
      <c r="A127" s="1">
        <f t="shared" si="13"/>
        <v>6.2499999999999858</v>
      </c>
      <c r="B127" s="1">
        <f t="shared" si="23"/>
        <v>2.2999999999998022E-4</v>
      </c>
      <c r="C127" s="1">
        <f t="shared" si="24"/>
        <v>4.7699999999999982E-3</v>
      </c>
      <c r="D127" s="1">
        <f t="shared" si="22"/>
        <v>0</v>
      </c>
      <c r="E127" s="1">
        <f t="shared" si="22"/>
        <v>0</v>
      </c>
      <c r="F127" s="1">
        <f t="shared" si="14"/>
        <v>2.4999999999999892E-3</v>
      </c>
      <c r="G127" s="4">
        <f t="shared" si="15"/>
        <v>-3.1622205196071729E-2</v>
      </c>
      <c r="H127" s="4">
        <f t="shared" si="16"/>
        <v>6.2048930835132738</v>
      </c>
      <c r="I127" s="3">
        <f t="shared" si="17"/>
        <v>355.51418601522602</v>
      </c>
      <c r="J127" s="2">
        <f t="shared" si="18"/>
        <v>0.99699824864216913</v>
      </c>
      <c r="K127" s="2">
        <f t="shared" si="19"/>
        <v>-7.7424106093951159E-2</v>
      </c>
      <c r="L127" s="4">
        <f t="shared" si="20"/>
        <v>-2.252439960191263E-4</v>
      </c>
      <c r="M127" s="4">
        <f t="shared" si="21"/>
        <v>-1.3855141038192912E-4</v>
      </c>
    </row>
    <row r="128" spans="1:14" x14ac:dyDescent="0.4">
      <c r="A128" s="1">
        <f t="shared" si="13"/>
        <v>6.2999999999999856</v>
      </c>
      <c r="B128" s="1">
        <f t="shared" si="23"/>
        <v>2.2999999999998022E-4</v>
      </c>
      <c r="C128" s="1">
        <f t="shared" si="24"/>
        <v>4.7699999999999982E-3</v>
      </c>
      <c r="D128" s="1">
        <f t="shared" si="22"/>
        <v>0</v>
      </c>
      <c r="E128" s="1">
        <f t="shared" si="22"/>
        <v>0</v>
      </c>
      <c r="F128" s="1">
        <f t="shared" si="14"/>
        <v>2.4999999999999892E-3</v>
      </c>
      <c r="G128" s="4">
        <f t="shared" si="15"/>
        <v>-3.1622205196071729E-2</v>
      </c>
      <c r="H128" s="4">
        <f t="shared" si="16"/>
        <v>6.2033119732534701</v>
      </c>
      <c r="I128" s="3">
        <f t="shared" si="17"/>
        <v>355.42359507039447</v>
      </c>
      <c r="J128" s="2">
        <f t="shared" si="18"/>
        <v>0.99687458644215909</v>
      </c>
      <c r="K128" s="2">
        <f t="shared" si="19"/>
        <v>-7.9000372820477033E-2</v>
      </c>
      <c r="L128" s="4">
        <f t="shared" si="20"/>
        <v>-1.0063467271385695E-4</v>
      </c>
      <c r="M128" s="4">
        <f t="shared" si="21"/>
        <v>-1.4842645698448869E-4</v>
      </c>
    </row>
    <row r="129" spans="1:13" x14ac:dyDescent="0.4">
      <c r="A129" s="1">
        <f t="shared" si="13"/>
        <v>6.3499999999999854</v>
      </c>
      <c r="B129" s="1">
        <f t="shared" si="23"/>
        <v>2.2999999999998022E-4</v>
      </c>
      <c r="C129" s="1">
        <f t="shared" si="24"/>
        <v>4.7699999999999982E-3</v>
      </c>
      <c r="D129" s="1">
        <f t="shared" si="22"/>
        <v>0</v>
      </c>
      <c r="E129" s="1">
        <f t="shared" si="22"/>
        <v>0</v>
      </c>
      <c r="F129" s="1">
        <f t="shared" si="14"/>
        <v>2.4999999999999892E-3</v>
      </c>
      <c r="G129" s="4">
        <f t="shared" si="15"/>
        <v>-3.1622205196071729E-2</v>
      </c>
      <c r="H129" s="4">
        <f t="shared" si="16"/>
        <v>6.2017308629936663</v>
      </c>
      <c r="I129" s="3">
        <f t="shared" si="17"/>
        <v>355.33300412556287</v>
      </c>
      <c r="J129" s="2">
        <f t="shared" si="18"/>
        <v>0.99674843214626607</v>
      </c>
      <c r="K129" s="2">
        <f t="shared" si="19"/>
        <v>-8.0576442053247627E-2</v>
      </c>
      <c r="L129" s="4">
        <f t="shared" si="20"/>
        <v>2.3958881304425762E-5</v>
      </c>
      <c r="M129" s="4">
        <f t="shared" si="21"/>
        <v>-1.584985122411446E-4</v>
      </c>
    </row>
    <row r="130" spans="1:13" x14ac:dyDescent="0.4">
      <c r="A130" s="1">
        <f t="shared" si="13"/>
        <v>6.3999999999999853</v>
      </c>
      <c r="B130" s="1">
        <f t="shared" si="23"/>
        <v>2.2999999999998022E-4</v>
      </c>
      <c r="C130" s="1">
        <f t="shared" si="24"/>
        <v>4.7699999999999982E-3</v>
      </c>
      <c r="D130" s="1">
        <f t="shared" si="22"/>
        <v>0</v>
      </c>
      <c r="E130" s="1">
        <f t="shared" si="22"/>
        <v>0</v>
      </c>
      <c r="F130" s="1">
        <f t="shared" si="14"/>
        <v>2.4999999999999892E-3</v>
      </c>
      <c r="G130" s="4">
        <f t="shared" si="15"/>
        <v>-3.1622205196071729E-2</v>
      </c>
      <c r="H130" s="4">
        <f t="shared" si="16"/>
        <v>6.2001497527338625</v>
      </c>
      <c r="I130" s="3">
        <f t="shared" si="17"/>
        <v>355.24241318073132</v>
      </c>
      <c r="J130" s="2">
        <f t="shared" si="18"/>
        <v>0.99661978606986434</v>
      </c>
      <c r="K130" s="2">
        <f t="shared" si="19"/>
        <v>-8.2152309852236621E-2</v>
      </c>
      <c r="L130" s="4">
        <f t="shared" si="20"/>
        <v>1.4853635456315827E-4</v>
      </c>
      <c r="M130" s="4">
        <f t="shared" si="21"/>
        <v>-1.6876755097267415E-4</v>
      </c>
    </row>
    <row r="131" spans="1:13" x14ac:dyDescent="0.4">
      <c r="A131" s="1">
        <f t="shared" si="13"/>
        <v>6.4499999999999851</v>
      </c>
      <c r="B131" s="1">
        <f t="shared" si="23"/>
        <v>2.2999999999998022E-4</v>
      </c>
      <c r="C131" s="1">
        <f t="shared" si="24"/>
        <v>4.7699999999999982E-3</v>
      </c>
      <c r="D131" s="1">
        <f t="shared" si="22"/>
        <v>0</v>
      </c>
      <c r="E131" s="1">
        <f t="shared" si="22"/>
        <v>0</v>
      </c>
      <c r="F131" s="1">
        <f t="shared" si="14"/>
        <v>2.4999999999999892E-3</v>
      </c>
      <c r="G131" s="4">
        <f t="shared" si="15"/>
        <v>-3.1622205196071729E-2</v>
      </c>
      <c r="H131" s="4">
        <f t="shared" si="16"/>
        <v>6.1985686424740587</v>
      </c>
      <c r="I131" s="3">
        <f t="shared" si="17"/>
        <v>355.15182223589966</v>
      </c>
      <c r="J131" s="2">
        <f t="shared" si="18"/>
        <v>0.99648864853455754</v>
      </c>
      <c r="K131" s="2">
        <f t="shared" si="19"/>
        <v>-8.3727972277914148E-2</v>
      </c>
      <c r="L131" s="4">
        <f t="shared" si="20"/>
        <v>2.7309743562997744E-4</v>
      </c>
      <c r="M131" s="4">
        <f t="shared" si="21"/>
        <v>-1.7923354750741337E-4</v>
      </c>
    </row>
    <row r="132" spans="1:13" x14ac:dyDescent="0.4">
      <c r="A132" s="1">
        <f t="shared" ref="A132:A195" si="26">A131+$P$3</f>
        <v>6.4999999999999849</v>
      </c>
      <c r="B132" s="1">
        <f t="shared" si="23"/>
        <v>2.2999999999998022E-4</v>
      </c>
      <c r="C132" s="1">
        <f t="shared" si="24"/>
        <v>4.7699999999999982E-3</v>
      </c>
      <c r="D132" s="1">
        <f t="shared" si="22"/>
        <v>0</v>
      </c>
      <c r="E132" s="1">
        <f t="shared" si="22"/>
        <v>0</v>
      </c>
      <c r="F132" s="1">
        <f t="shared" ref="F132:F195" si="27">(B132+C132)/2</f>
        <v>2.4999999999999892E-3</v>
      </c>
      <c r="G132" s="4">
        <f t="shared" ref="G132:G195" si="28">(B132-C132)/R$3</f>
        <v>-3.1622205196071729E-2</v>
      </c>
      <c r="H132" s="4">
        <f t="shared" ref="H132:H195" si="29">H131+G132*P$3</f>
        <v>6.1969875322142549</v>
      </c>
      <c r="I132" s="3">
        <f t="shared" ref="I132:I195" si="30">H132*180/PI()</f>
        <v>355.06123129106805</v>
      </c>
      <c r="J132" s="2">
        <f t="shared" ref="J132:J195" si="31">COS((H132+H131)/2)</f>
        <v>0.99635501986817721</v>
      </c>
      <c r="K132" s="2">
        <f t="shared" ref="K132:K195" si="32">SIN((H132+H131)/2)</f>
        <v>-8.5303425391270865E-2</v>
      </c>
      <c r="L132" s="4">
        <f t="shared" ref="L132:L195" si="33">L131+F132*P$3*J132</f>
        <v>3.9764181311349907E-4</v>
      </c>
      <c r="M132" s="4">
        <f t="shared" ref="M132:M195" si="34">M131+F132*P$3*K132</f>
        <v>-1.8989647568132218E-4</v>
      </c>
    </row>
    <row r="133" spans="1:13" x14ac:dyDescent="0.4">
      <c r="A133" s="1">
        <f t="shared" si="26"/>
        <v>6.5499999999999847</v>
      </c>
      <c r="B133" s="1">
        <f t="shared" si="23"/>
        <v>2.2999999999998022E-4</v>
      </c>
      <c r="C133" s="1">
        <f t="shared" si="24"/>
        <v>4.7699999999999982E-3</v>
      </c>
      <c r="D133" s="1">
        <f t="shared" ref="D133:E196" si="35">(B133-B132)/$P$3</f>
        <v>0</v>
      </c>
      <c r="E133" s="1">
        <f t="shared" si="35"/>
        <v>0</v>
      </c>
      <c r="F133" s="1">
        <f t="shared" si="27"/>
        <v>2.4999999999999892E-3</v>
      </c>
      <c r="G133" s="4">
        <f t="shared" si="28"/>
        <v>-3.1622205196071729E-2</v>
      </c>
      <c r="H133" s="4">
        <f t="shared" si="29"/>
        <v>6.1954064219544511</v>
      </c>
      <c r="I133" s="3">
        <f t="shared" si="30"/>
        <v>354.97064034623651</v>
      </c>
      <c r="J133" s="2">
        <f t="shared" si="31"/>
        <v>0.99621890040478345</v>
      </c>
      <c r="K133" s="2">
        <f t="shared" si="32"/>
        <v>-8.6878665253813631E-2</v>
      </c>
      <c r="L133" s="4">
        <f t="shared" si="33"/>
        <v>5.221691756640964E-4</v>
      </c>
      <c r="M133" s="4">
        <f t="shared" si="34"/>
        <v>-2.0075630883804884E-4</v>
      </c>
    </row>
    <row r="134" spans="1:13" x14ac:dyDescent="0.4">
      <c r="A134" s="1">
        <f t="shared" si="26"/>
        <v>6.5999999999999845</v>
      </c>
      <c r="B134" s="1">
        <f t="shared" si="23"/>
        <v>2.2999999999998022E-4</v>
      </c>
      <c r="C134" s="1">
        <f t="shared" si="24"/>
        <v>4.7699999999999982E-3</v>
      </c>
      <c r="D134" s="1">
        <f t="shared" si="35"/>
        <v>0</v>
      </c>
      <c r="E134" s="1">
        <f t="shared" si="35"/>
        <v>0</v>
      </c>
      <c r="F134" s="1">
        <f t="shared" si="27"/>
        <v>2.4999999999999892E-3</v>
      </c>
      <c r="G134" s="4">
        <f t="shared" si="28"/>
        <v>-3.1622205196071729E-2</v>
      </c>
      <c r="H134" s="4">
        <f t="shared" si="29"/>
        <v>6.1938253116946473</v>
      </c>
      <c r="I134" s="3">
        <f t="shared" si="30"/>
        <v>354.8800494014049</v>
      </c>
      <c r="J134" s="2">
        <f t="shared" si="31"/>
        <v>0.99608029048466196</v>
      </c>
      <c r="K134" s="2">
        <f t="shared" si="32"/>
        <v>-8.8453687927589425E-2</v>
      </c>
      <c r="L134" s="4">
        <f t="shared" si="33"/>
        <v>6.4667921197467863E-4</v>
      </c>
      <c r="M134" s="4">
        <f t="shared" si="34"/>
        <v>-2.1181301982899748E-4</v>
      </c>
    </row>
    <row r="135" spans="1:13" x14ac:dyDescent="0.4">
      <c r="A135" s="1">
        <f t="shared" si="26"/>
        <v>6.6499999999999844</v>
      </c>
      <c r="B135" s="1">
        <f t="shared" ref="B135:B198" si="36">B134</f>
        <v>2.2999999999998022E-4</v>
      </c>
      <c r="C135" s="1">
        <f t="shared" ref="C135:C198" si="37">C134</f>
        <v>4.7699999999999982E-3</v>
      </c>
      <c r="D135" s="1">
        <f t="shared" si="35"/>
        <v>0</v>
      </c>
      <c r="E135" s="1">
        <f t="shared" si="35"/>
        <v>0</v>
      </c>
      <c r="F135" s="1">
        <f t="shared" si="27"/>
        <v>2.4999999999999892E-3</v>
      </c>
      <c r="G135" s="4">
        <f t="shared" si="28"/>
        <v>-3.1622205196071729E-2</v>
      </c>
      <c r="H135" s="4">
        <f t="shared" si="29"/>
        <v>6.1922442014348436</v>
      </c>
      <c r="I135" s="3">
        <f t="shared" si="30"/>
        <v>354.7894584565733</v>
      </c>
      <c r="J135" s="2">
        <f t="shared" si="31"/>
        <v>0.99593919045432544</v>
      </c>
      <c r="K135" s="2">
        <f t="shared" si="32"/>
        <v>-9.0028489475181175E-2</v>
      </c>
      <c r="L135" s="4">
        <f t="shared" si="33"/>
        <v>7.7117161078146877E-4</v>
      </c>
      <c r="M135" s="4">
        <f t="shared" si="34"/>
        <v>-2.2306658101339506E-4</v>
      </c>
    </row>
    <row r="136" spans="1:13" x14ac:dyDescent="0.4">
      <c r="A136" s="1">
        <f t="shared" si="26"/>
        <v>6.6999999999999842</v>
      </c>
      <c r="B136" s="1">
        <f t="shared" si="36"/>
        <v>2.2999999999998022E-4</v>
      </c>
      <c r="C136" s="1">
        <f t="shared" si="37"/>
        <v>4.7699999999999982E-3</v>
      </c>
      <c r="D136" s="1">
        <f t="shared" si="35"/>
        <v>0</v>
      </c>
      <c r="E136" s="1">
        <f t="shared" si="35"/>
        <v>0</v>
      </c>
      <c r="F136" s="1">
        <f t="shared" si="27"/>
        <v>2.4999999999999892E-3</v>
      </c>
      <c r="G136" s="4">
        <f t="shared" si="28"/>
        <v>-3.1622205196071729E-2</v>
      </c>
      <c r="H136" s="4">
        <f t="shared" si="29"/>
        <v>6.1906630911750398</v>
      </c>
      <c r="I136" s="3">
        <f t="shared" si="30"/>
        <v>354.69886751174175</v>
      </c>
      <c r="J136" s="2">
        <f t="shared" si="31"/>
        <v>0.99579560066651085</v>
      </c>
      <c r="K136" s="2">
        <f t="shared" si="32"/>
        <v>-9.1603065959731639E-2</v>
      </c>
      <c r="L136" s="4">
        <f t="shared" si="33"/>
        <v>8.9564606086478212E-4</v>
      </c>
      <c r="M136" s="4">
        <f t="shared" si="34"/>
        <v>-2.3451696425836146E-4</v>
      </c>
    </row>
    <row r="137" spans="1:13" x14ac:dyDescent="0.4">
      <c r="A137" s="1">
        <f t="shared" si="26"/>
        <v>6.749999999999984</v>
      </c>
      <c r="B137" s="1">
        <f t="shared" si="36"/>
        <v>2.2999999999998022E-4</v>
      </c>
      <c r="C137" s="1">
        <f t="shared" si="37"/>
        <v>4.7699999999999982E-3</v>
      </c>
      <c r="D137" s="1">
        <f t="shared" si="35"/>
        <v>0</v>
      </c>
      <c r="E137" s="1">
        <f t="shared" si="35"/>
        <v>0</v>
      </c>
      <c r="F137" s="1">
        <f t="shared" si="27"/>
        <v>2.4999999999999892E-3</v>
      </c>
      <c r="G137" s="4">
        <f t="shared" si="28"/>
        <v>-3.1622205196071729E-2</v>
      </c>
      <c r="H137" s="4">
        <f t="shared" si="29"/>
        <v>6.189081980915236</v>
      </c>
      <c r="I137" s="3">
        <f t="shared" si="30"/>
        <v>354.60827656691015</v>
      </c>
      <c r="J137" s="2">
        <f t="shared" si="31"/>
        <v>0.99564952148017971</v>
      </c>
      <c r="K137" s="2">
        <f t="shared" si="32"/>
        <v>-9.3177413444939156E-2</v>
      </c>
      <c r="L137" s="4">
        <f t="shared" si="33"/>
        <v>1.0201022510498039E-3</v>
      </c>
      <c r="M137" s="4">
        <f t="shared" si="34"/>
        <v>-2.461641409389788E-4</v>
      </c>
    </row>
    <row r="138" spans="1:13" x14ac:dyDescent="0.4">
      <c r="A138" s="1">
        <f t="shared" si="26"/>
        <v>6.7999999999999838</v>
      </c>
      <c r="B138" s="1">
        <f t="shared" si="36"/>
        <v>2.2999999999998022E-4</v>
      </c>
      <c r="C138" s="1">
        <f t="shared" si="37"/>
        <v>4.7699999999999982E-3</v>
      </c>
      <c r="D138" s="1">
        <f t="shared" si="35"/>
        <v>0</v>
      </c>
      <c r="E138" s="1">
        <f t="shared" si="35"/>
        <v>0</v>
      </c>
      <c r="F138" s="1">
        <f t="shared" si="27"/>
        <v>2.4999999999999892E-3</v>
      </c>
      <c r="G138" s="4">
        <f t="shared" si="28"/>
        <v>-3.1622205196071729E-2</v>
      </c>
      <c r="H138" s="4">
        <f t="shared" si="29"/>
        <v>6.1875008706554322</v>
      </c>
      <c r="I138" s="3">
        <f t="shared" si="30"/>
        <v>354.51768562207849</v>
      </c>
      <c r="J138" s="2">
        <f t="shared" si="31"/>
        <v>0.99550095326051657</v>
      </c>
      <c r="K138" s="2">
        <f t="shared" si="32"/>
        <v>-9.4751527995081575E-2</v>
      </c>
      <c r="L138" s="4">
        <f t="shared" si="33"/>
        <v>1.1445398702073679E-3</v>
      </c>
      <c r="M138" s="4">
        <f t="shared" si="34"/>
        <v>-2.5800808193836397E-4</v>
      </c>
    </row>
    <row r="139" spans="1:13" x14ac:dyDescent="0.4">
      <c r="A139" s="1">
        <f t="shared" si="26"/>
        <v>6.8499999999999837</v>
      </c>
      <c r="B139" s="1">
        <f t="shared" si="36"/>
        <v>2.2999999999998022E-4</v>
      </c>
      <c r="C139" s="1">
        <f t="shared" si="37"/>
        <v>4.7699999999999982E-3</v>
      </c>
      <c r="D139" s="1">
        <f t="shared" si="35"/>
        <v>0</v>
      </c>
      <c r="E139" s="1">
        <f t="shared" si="35"/>
        <v>0</v>
      </c>
      <c r="F139" s="1">
        <f t="shared" si="27"/>
        <v>2.4999999999999892E-3</v>
      </c>
      <c r="G139" s="4">
        <f t="shared" si="28"/>
        <v>-3.1622205196071729E-2</v>
      </c>
      <c r="H139" s="4">
        <f t="shared" si="29"/>
        <v>6.1859197603956284</v>
      </c>
      <c r="I139" s="3">
        <f t="shared" si="30"/>
        <v>354.42709467724694</v>
      </c>
      <c r="J139" s="2">
        <f t="shared" si="31"/>
        <v>0.99534989637892879</v>
      </c>
      <c r="K139" s="2">
        <f t="shared" si="32"/>
        <v>-9.6325405675012049E-2</v>
      </c>
      <c r="L139" s="4">
        <f t="shared" si="33"/>
        <v>1.2689586072547334E-3</v>
      </c>
      <c r="M139" s="4">
        <f t="shared" si="34"/>
        <v>-2.7004875764774044E-4</v>
      </c>
    </row>
    <row r="140" spans="1:13" x14ac:dyDescent="0.4">
      <c r="A140" s="1">
        <f t="shared" si="26"/>
        <v>6.8999999999999835</v>
      </c>
      <c r="B140" s="1">
        <f t="shared" si="36"/>
        <v>2.2999999999998022E-4</v>
      </c>
      <c r="C140" s="1">
        <f t="shared" si="37"/>
        <v>4.7699999999999982E-3</v>
      </c>
      <c r="D140" s="1">
        <f t="shared" si="35"/>
        <v>0</v>
      </c>
      <c r="E140" s="1">
        <f t="shared" si="35"/>
        <v>0</v>
      </c>
      <c r="F140" s="1">
        <f t="shared" si="27"/>
        <v>2.4999999999999892E-3</v>
      </c>
      <c r="G140" s="4">
        <f t="shared" si="28"/>
        <v>-3.1622205196071729E-2</v>
      </c>
      <c r="H140" s="4">
        <f t="shared" si="29"/>
        <v>6.1843386501358246</v>
      </c>
      <c r="I140" s="3">
        <f t="shared" si="30"/>
        <v>354.33650373241534</v>
      </c>
      <c r="J140" s="2">
        <f t="shared" si="31"/>
        <v>0.99519635121304451</v>
      </c>
      <c r="K140" s="2">
        <f t="shared" si="32"/>
        <v>-9.7899042550182905E-2</v>
      </c>
      <c r="L140" s="4">
        <f t="shared" si="33"/>
        <v>1.3933581511563634E-3</v>
      </c>
      <c r="M140" s="4">
        <f t="shared" si="34"/>
        <v>-2.8228613796651324E-4</v>
      </c>
    </row>
    <row r="141" spans="1:13" x14ac:dyDescent="0.4">
      <c r="A141" s="1">
        <f t="shared" si="26"/>
        <v>6.9499999999999833</v>
      </c>
      <c r="B141" s="1">
        <f t="shared" si="36"/>
        <v>2.2999999999998022E-4</v>
      </c>
      <c r="C141" s="1">
        <f t="shared" si="37"/>
        <v>4.7699999999999982E-3</v>
      </c>
      <c r="D141" s="1">
        <f t="shared" si="35"/>
        <v>0</v>
      </c>
      <c r="E141" s="1">
        <f t="shared" si="35"/>
        <v>0</v>
      </c>
      <c r="F141" s="1">
        <f t="shared" si="27"/>
        <v>2.4999999999999892E-3</v>
      </c>
      <c r="G141" s="4">
        <f t="shared" si="28"/>
        <v>-3.1622205196071729E-2</v>
      </c>
      <c r="H141" s="4">
        <f t="shared" si="29"/>
        <v>6.1827575398760208</v>
      </c>
      <c r="I141" s="3">
        <f t="shared" si="30"/>
        <v>354.24591278758379</v>
      </c>
      <c r="J141" s="2">
        <f t="shared" si="31"/>
        <v>0.99504031814671301</v>
      </c>
      <c r="K141" s="2">
        <f t="shared" si="32"/>
        <v>-9.9472434686641437E-2</v>
      </c>
      <c r="L141" s="4">
        <f t="shared" si="33"/>
        <v>1.5177381909247021E-3</v>
      </c>
      <c r="M141" s="4">
        <f t="shared" si="34"/>
        <v>-2.9472019230234337E-4</v>
      </c>
    </row>
    <row r="142" spans="1:13" x14ac:dyDescent="0.4">
      <c r="A142" s="1">
        <f t="shared" si="26"/>
        <v>6.9999999999999831</v>
      </c>
      <c r="B142" s="1">
        <f t="shared" si="36"/>
        <v>2.2999999999998022E-4</v>
      </c>
      <c r="C142" s="1">
        <f t="shared" si="37"/>
        <v>4.7699999999999982E-3</v>
      </c>
      <c r="D142" s="1">
        <f t="shared" si="35"/>
        <v>0</v>
      </c>
      <c r="E142" s="1">
        <f t="shared" si="35"/>
        <v>0</v>
      </c>
      <c r="F142" s="1">
        <f t="shared" si="27"/>
        <v>2.4999999999999892E-3</v>
      </c>
      <c r="G142" s="4">
        <f t="shared" si="28"/>
        <v>-3.1622205196071729E-2</v>
      </c>
      <c r="H142" s="4">
        <f t="shared" si="29"/>
        <v>6.181176429616217</v>
      </c>
      <c r="I142" s="3">
        <f t="shared" si="30"/>
        <v>354.15532184275219</v>
      </c>
      <c r="J142" s="2">
        <f t="shared" si="31"/>
        <v>0.99488179757000239</v>
      </c>
      <c r="K142" s="2">
        <f t="shared" si="32"/>
        <v>-0.10104557815105379</v>
      </c>
      <c r="L142" s="4">
        <f t="shared" si="33"/>
        <v>1.6420984156209518E-3</v>
      </c>
      <c r="M142" s="4">
        <f t="shared" si="34"/>
        <v>-3.0735088957122502E-4</v>
      </c>
    </row>
    <row r="143" spans="1:13" x14ac:dyDescent="0.4">
      <c r="A143" s="1">
        <f t="shared" si="26"/>
        <v>7.0499999999999829</v>
      </c>
      <c r="B143" s="1">
        <f t="shared" si="36"/>
        <v>2.2999999999998022E-4</v>
      </c>
      <c r="C143" s="1">
        <f t="shared" si="37"/>
        <v>4.7699999999999982E-3</v>
      </c>
      <c r="D143" s="1">
        <f t="shared" si="35"/>
        <v>0</v>
      </c>
      <c r="E143" s="1">
        <f t="shared" si="35"/>
        <v>0</v>
      </c>
      <c r="F143" s="1">
        <f t="shared" si="27"/>
        <v>2.4999999999999892E-3</v>
      </c>
      <c r="G143" s="4">
        <f t="shared" si="28"/>
        <v>-3.1622205196071729E-2</v>
      </c>
      <c r="H143" s="4">
        <f t="shared" si="29"/>
        <v>6.1795953193564133</v>
      </c>
      <c r="I143" s="3">
        <f t="shared" si="30"/>
        <v>354.06473089792064</v>
      </c>
      <c r="J143" s="2">
        <f t="shared" si="31"/>
        <v>0.9947207898792001</v>
      </c>
      <c r="K143" s="2">
        <f t="shared" si="32"/>
        <v>-0.10261846901070072</v>
      </c>
      <c r="L143" s="4">
        <f t="shared" si="33"/>
        <v>1.7664385143558513E-3</v>
      </c>
      <c r="M143" s="4">
        <f t="shared" si="34"/>
        <v>-3.2017819819756254E-4</v>
      </c>
    </row>
    <row r="144" spans="1:13" x14ac:dyDescent="0.4">
      <c r="A144" s="1">
        <f t="shared" si="26"/>
        <v>7.0999999999999828</v>
      </c>
      <c r="B144" s="1">
        <f t="shared" si="36"/>
        <v>2.2999999999998022E-4</v>
      </c>
      <c r="C144" s="1">
        <f t="shared" si="37"/>
        <v>4.7699999999999982E-3</v>
      </c>
      <c r="D144" s="1">
        <f t="shared" si="35"/>
        <v>0</v>
      </c>
      <c r="E144" s="1">
        <f t="shared" si="35"/>
        <v>0</v>
      </c>
      <c r="F144" s="1">
        <f t="shared" si="27"/>
        <v>2.4999999999999892E-3</v>
      </c>
      <c r="G144" s="4">
        <f t="shared" si="28"/>
        <v>-3.1622205196071729E-2</v>
      </c>
      <c r="H144" s="4">
        <f t="shared" si="29"/>
        <v>6.1780142090966095</v>
      </c>
      <c r="I144" s="3">
        <f t="shared" si="30"/>
        <v>353.97413995308904</v>
      </c>
      <c r="J144" s="2">
        <f t="shared" si="31"/>
        <v>0.99455729547681038</v>
      </c>
      <c r="K144" s="2">
        <f t="shared" si="32"/>
        <v>-0.10419110333350154</v>
      </c>
      <c r="L144" s="4">
        <f t="shared" si="33"/>
        <v>1.8907581762904521E-3</v>
      </c>
      <c r="M144" s="4">
        <f t="shared" si="34"/>
        <v>-3.3320208611425017E-4</v>
      </c>
    </row>
    <row r="145" spans="1:13" x14ac:dyDescent="0.4">
      <c r="A145" s="1">
        <f t="shared" si="26"/>
        <v>7.1499999999999826</v>
      </c>
      <c r="B145" s="1">
        <f t="shared" si="36"/>
        <v>2.2999999999998022E-4</v>
      </c>
      <c r="C145" s="1">
        <f t="shared" si="37"/>
        <v>4.7699999999999982E-3</v>
      </c>
      <c r="D145" s="1">
        <f t="shared" si="35"/>
        <v>0</v>
      </c>
      <c r="E145" s="1">
        <f t="shared" si="35"/>
        <v>0</v>
      </c>
      <c r="F145" s="1">
        <f t="shared" si="27"/>
        <v>2.4999999999999892E-3</v>
      </c>
      <c r="G145" s="4">
        <f t="shared" si="28"/>
        <v>-3.1622205196071729E-2</v>
      </c>
      <c r="H145" s="4">
        <f t="shared" si="29"/>
        <v>6.1764330988368057</v>
      </c>
      <c r="I145" s="3">
        <f t="shared" si="30"/>
        <v>353.88354900825738</v>
      </c>
      <c r="J145" s="2">
        <f t="shared" si="31"/>
        <v>0.99439131477155474</v>
      </c>
      <c r="K145" s="2">
        <f t="shared" si="32"/>
        <v>-0.1057634771880098</v>
      </c>
      <c r="L145" s="4">
        <f t="shared" si="33"/>
        <v>2.0150570906368958E-3</v>
      </c>
      <c r="M145" s="4">
        <f t="shared" si="34"/>
        <v>-3.4642252076275132E-4</v>
      </c>
    </row>
    <row r="146" spans="1:13" x14ac:dyDescent="0.4">
      <c r="A146" s="1">
        <f t="shared" si="26"/>
        <v>7.1999999999999824</v>
      </c>
      <c r="B146" s="1">
        <f t="shared" si="36"/>
        <v>2.2999999999998022E-4</v>
      </c>
      <c r="C146" s="1">
        <f t="shared" si="37"/>
        <v>4.7699999999999982E-3</v>
      </c>
      <c r="D146" s="1">
        <f t="shared" si="35"/>
        <v>0</v>
      </c>
      <c r="E146" s="1">
        <f t="shared" si="35"/>
        <v>0</v>
      </c>
      <c r="F146" s="1">
        <f t="shared" si="27"/>
        <v>2.4999999999999892E-3</v>
      </c>
      <c r="G146" s="4">
        <f t="shared" si="28"/>
        <v>-3.1622205196071729E-2</v>
      </c>
      <c r="H146" s="4">
        <f t="shared" si="29"/>
        <v>6.1748519885770019</v>
      </c>
      <c r="I146" s="3">
        <f t="shared" si="30"/>
        <v>353.79295806342583</v>
      </c>
      <c r="J146" s="2">
        <f t="shared" si="31"/>
        <v>0.99422284817836948</v>
      </c>
      <c r="K146" s="2">
        <f t="shared" si="32"/>
        <v>-0.10733558664343729</v>
      </c>
      <c r="L146" s="4">
        <f t="shared" si="33"/>
        <v>2.1393349466591913E-3</v>
      </c>
      <c r="M146" s="4">
        <f t="shared" si="34"/>
        <v>-3.5983946909318095E-4</v>
      </c>
    </row>
    <row r="147" spans="1:13" x14ac:dyDescent="0.4">
      <c r="A147" s="1">
        <f t="shared" si="26"/>
        <v>7.2499999999999822</v>
      </c>
      <c r="B147" s="1">
        <f t="shared" si="36"/>
        <v>2.2999999999998022E-4</v>
      </c>
      <c r="C147" s="1">
        <f t="shared" si="37"/>
        <v>4.7699999999999982E-3</v>
      </c>
      <c r="D147" s="1">
        <f t="shared" si="35"/>
        <v>0</v>
      </c>
      <c r="E147" s="1">
        <f t="shared" si="35"/>
        <v>0</v>
      </c>
      <c r="F147" s="1">
        <f t="shared" si="27"/>
        <v>2.4999999999999892E-3</v>
      </c>
      <c r="G147" s="4">
        <f t="shared" si="28"/>
        <v>-3.1622205196071729E-2</v>
      </c>
      <c r="H147" s="4">
        <f t="shared" si="29"/>
        <v>6.1732708783171981</v>
      </c>
      <c r="I147" s="3">
        <f t="shared" si="30"/>
        <v>353.70236711859422</v>
      </c>
      <c r="J147" s="2">
        <f t="shared" si="31"/>
        <v>0.99405189611840616</v>
      </c>
      <c r="K147" s="2">
        <f t="shared" si="32"/>
        <v>-0.10890742776964968</v>
      </c>
      <c r="L147" s="4">
        <f t="shared" si="33"/>
        <v>2.2635914336739914E-3</v>
      </c>
      <c r="M147" s="4">
        <f t="shared" si="34"/>
        <v>-3.734528975643871E-4</v>
      </c>
    </row>
    <row r="148" spans="1:13" x14ac:dyDescent="0.4">
      <c r="A148" s="1">
        <f t="shared" si="26"/>
        <v>7.2999999999999821</v>
      </c>
      <c r="B148" s="1">
        <f t="shared" si="36"/>
        <v>2.2999999999998022E-4</v>
      </c>
      <c r="C148" s="1">
        <f t="shared" si="37"/>
        <v>4.7699999999999982E-3</v>
      </c>
      <c r="D148" s="1">
        <f t="shared" si="35"/>
        <v>0</v>
      </c>
      <c r="E148" s="1">
        <f t="shared" si="35"/>
        <v>0</v>
      </c>
      <c r="F148" s="1">
        <f t="shared" si="27"/>
        <v>2.4999999999999892E-3</v>
      </c>
      <c r="G148" s="4">
        <f t="shared" si="28"/>
        <v>-3.1622205196071729E-2</v>
      </c>
      <c r="H148" s="4">
        <f t="shared" si="29"/>
        <v>6.1716897680573943</v>
      </c>
      <c r="I148" s="3">
        <f t="shared" si="30"/>
        <v>353.61177617376262</v>
      </c>
      <c r="J148" s="2">
        <f t="shared" si="31"/>
        <v>0.99387845901902894</v>
      </c>
      <c r="K148" s="2">
        <f t="shared" si="32"/>
        <v>-0.11047899663719052</v>
      </c>
      <c r="L148" s="4">
        <f t="shared" si="33"/>
        <v>2.3878262410513694E-3</v>
      </c>
      <c r="M148" s="4">
        <f t="shared" si="34"/>
        <v>-3.8726277214403586E-4</v>
      </c>
    </row>
    <row r="149" spans="1:13" x14ac:dyDescent="0.4">
      <c r="A149" s="1">
        <f t="shared" si="26"/>
        <v>7.3499999999999819</v>
      </c>
      <c r="B149" s="1">
        <f t="shared" si="36"/>
        <v>2.2999999999998022E-4</v>
      </c>
      <c r="C149" s="1">
        <f t="shared" si="37"/>
        <v>4.7699999999999982E-3</v>
      </c>
      <c r="D149" s="1">
        <f t="shared" si="35"/>
        <v>0</v>
      </c>
      <c r="E149" s="1">
        <f t="shared" si="35"/>
        <v>0</v>
      </c>
      <c r="F149" s="1">
        <f t="shared" si="27"/>
        <v>2.4999999999999892E-3</v>
      </c>
      <c r="G149" s="4">
        <f t="shared" si="28"/>
        <v>-3.1622205196071729E-2</v>
      </c>
      <c r="H149" s="4">
        <f t="shared" si="29"/>
        <v>6.1701086577975905</v>
      </c>
      <c r="I149" s="3">
        <f t="shared" si="30"/>
        <v>353.52118522893107</v>
      </c>
      <c r="J149" s="2">
        <f t="shared" si="31"/>
        <v>0.9937025373138153</v>
      </c>
      <c r="K149" s="2">
        <f t="shared" si="32"/>
        <v>-0.1120502893172769</v>
      </c>
      <c r="L149" s="4">
        <f t="shared" si="33"/>
        <v>2.5120390582155957E-3</v>
      </c>
      <c r="M149" s="4">
        <f t="shared" si="34"/>
        <v>-4.0126905830869543E-4</v>
      </c>
    </row>
    <row r="150" spans="1:13" x14ac:dyDescent="0.4">
      <c r="A150" s="1">
        <f t="shared" si="26"/>
        <v>7.3999999999999817</v>
      </c>
      <c r="B150" s="1">
        <f t="shared" si="36"/>
        <v>2.2999999999998022E-4</v>
      </c>
      <c r="C150" s="1">
        <f t="shared" si="37"/>
        <v>4.7699999999999982E-3</v>
      </c>
      <c r="D150" s="1">
        <f t="shared" si="35"/>
        <v>0</v>
      </c>
      <c r="E150" s="1">
        <f t="shared" si="35"/>
        <v>0</v>
      </c>
      <c r="F150" s="1">
        <f t="shared" si="27"/>
        <v>2.4999999999999892E-3</v>
      </c>
      <c r="G150" s="4">
        <f t="shared" si="28"/>
        <v>-3.1622205196071729E-2</v>
      </c>
      <c r="H150" s="4">
        <f t="shared" si="29"/>
        <v>6.1685275475377868</v>
      </c>
      <c r="I150" s="3">
        <f t="shared" si="30"/>
        <v>353.43059428409947</v>
      </c>
      <c r="J150" s="2">
        <f t="shared" si="31"/>
        <v>0.99352413144255314</v>
      </c>
      <c r="K150" s="2">
        <f t="shared" si="32"/>
        <v>-0.11362130188182346</v>
      </c>
      <c r="L150" s="4">
        <f t="shared" si="33"/>
        <v>2.6362295746459145E-3</v>
      </c>
      <c r="M150" s="4">
        <f t="shared" si="34"/>
        <v>-4.1547172104392329E-4</v>
      </c>
    </row>
    <row r="151" spans="1:13" x14ac:dyDescent="0.4">
      <c r="A151" s="1">
        <f t="shared" si="26"/>
        <v>7.4499999999999815</v>
      </c>
      <c r="B151" s="1">
        <f t="shared" si="36"/>
        <v>2.2999999999998022E-4</v>
      </c>
      <c r="C151" s="1">
        <f t="shared" si="37"/>
        <v>4.7699999999999982E-3</v>
      </c>
      <c r="D151" s="1">
        <f t="shared" si="35"/>
        <v>0</v>
      </c>
      <c r="E151" s="1">
        <f t="shared" si="35"/>
        <v>0</v>
      </c>
      <c r="F151" s="1">
        <f t="shared" si="27"/>
        <v>2.4999999999999892E-3</v>
      </c>
      <c r="G151" s="4">
        <f t="shared" si="28"/>
        <v>-3.1622205196071729E-2</v>
      </c>
      <c r="H151" s="4">
        <f t="shared" si="29"/>
        <v>6.166946437277983</v>
      </c>
      <c r="I151" s="3">
        <f t="shared" si="30"/>
        <v>353.34000333926792</v>
      </c>
      <c r="J151" s="2">
        <f t="shared" si="31"/>
        <v>0.99334324185124123</v>
      </c>
      <c r="K151" s="2">
        <f t="shared" si="32"/>
        <v>-0.11519203040343798</v>
      </c>
      <c r="L151" s="4">
        <f t="shared" si="33"/>
        <v>2.7603974798773192E-3</v>
      </c>
      <c r="M151" s="4">
        <f t="shared" si="34"/>
        <v>-4.29870724844353E-4</v>
      </c>
    </row>
    <row r="152" spans="1:13" x14ac:dyDescent="0.4">
      <c r="A152" s="1">
        <f t="shared" si="26"/>
        <v>7.4999999999999813</v>
      </c>
      <c r="B152" s="1">
        <f t="shared" si="36"/>
        <v>2.2999999999998022E-4</v>
      </c>
      <c r="C152" s="1">
        <f t="shared" si="37"/>
        <v>4.7699999999999982E-3</v>
      </c>
      <c r="D152" s="1">
        <f t="shared" si="35"/>
        <v>0</v>
      </c>
      <c r="E152" s="1">
        <f t="shared" si="35"/>
        <v>0</v>
      </c>
      <c r="F152" s="1">
        <f t="shared" si="27"/>
        <v>2.4999999999999892E-3</v>
      </c>
      <c r="G152" s="4">
        <f t="shared" si="28"/>
        <v>-3.1622205196071729E-2</v>
      </c>
      <c r="H152" s="4">
        <f t="shared" si="29"/>
        <v>6.1653653270181792</v>
      </c>
      <c r="I152" s="3">
        <f t="shared" si="30"/>
        <v>353.24941239443632</v>
      </c>
      <c r="J152" s="2">
        <f t="shared" si="31"/>
        <v>0.99315986899208664</v>
      </c>
      <c r="K152" s="2">
        <f t="shared" si="32"/>
        <v>-0.11676247095544542</v>
      </c>
      <c r="L152" s="4">
        <f t="shared" si="33"/>
        <v>2.8845424635013297E-3</v>
      </c>
      <c r="M152" s="4">
        <f t="shared" si="34"/>
        <v>-4.4446603371378363E-4</v>
      </c>
    </row>
    <row r="153" spans="1:13" x14ac:dyDescent="0.4">
      <c r="A153" s="1">
        <f t="shared" si="26"/>
        <v>7.5499999999999812</v>
      </c>
      <c r="B153" s="1">
        <f t="shared" si="36"/>
        <v>2.2999999999998022E-4</v>
      </c>
      <c r="C153" s="1">
        <f t="shared" si="37"/>
        <v>4.7699999999999982E-3</v>
      </c>
      <c r="D153" s="1">
        <f t="shared" si="35"/>
        <v>0</v>
      </c>
      <c r="E153" s="1">
        <f t="shared" si="35"/>
        <v>0</v>
      </c>
      <c r="F153" s="1">
        <f t="shared" si="27"/>
        <v>2.4999999999999892E-3</v>
      </c>
      <c r="G153" s="4">
        <f t="shared" si="28"/>
        <v>-3.1622205196071729E-2</v>
      </c>
      <c r="H153" s="4">
        <f t="shared" si="29"/>
        <v>6.1637842167583754</v>
      </c>
      <c r="I153" s="3">
        <f t="shared" si="30"/>
        <v>353.15882144960466</v>
      </c>
      <c r="J153" s="2">
        <f t="shared" si="31"/>
        <v>0.99297401332350554</v>
      </c>
      <c r="K153" s="2">
        <f t="shared" si="32"/>
        <v>-0.11833261961188359</v>
      </c>
      <c r="L153" s="4">
        <f t="shared" si="33"/>
        <v>3.0086642151667675E-3</v>
      </c>
      <c r="M153" s="4">
        <f t="shared" si="34"/>
        <v>-4.5925761116526903E-4</v>
      </c>
    </row>
    <row r="154" spans="1:13" x14ac:dyDescent="0.4">
      <c r="A154" s="1">
        <f t="shared" si="26"/>
        <v>7.599999999999981</v>
      </c>
      <c r="B154" s="1">
        <f t="shared" si="36"/>
        <v>2.2999999999998022E-4</v>
      </c>
      <c r="C154" s="1">
        <f t="shared" si="37"/>
        <v>4.7699999999999982E-3</v>
      </c>
      <c r="D154" s="1">
        <f t="shared" si="35"/>
        <v>0</v>
      </c>
      <c r="E154" s="1">
        <f t="shared" si="35"/>
        <v>0</v>
      </c>
      <c r="F154" s="1">
        <f t="shared" si="27"/>
        <v>2.4999999999999892E-3</v>
      </c>
      <c r="G154" s="4">
        <f t="shared" si="28"/>
        <v>-3.1622205196071729E-2</v>
      </c>
      <c r="H154" s="4">
        <f t="shared" si="29"/>
        <v>6.1622031064985716</v>
      </c>
      <c r="I154" s="3">
        <f t="shared" si="30"/>
        <v>353.06823050477311</v>
      </c>
      <c r="J154" s="2">
        <f t="shared" si="31"/>
        <v>0.99278567531011952</v>
      </c>
      <c r="K154" s="2">
        <f t="shared" si="32"/>
        <v>-0.11990247244752704</v>
      </c>
      <c r="L154" s="4">
        <f t="shared" si="33"/>
        <v>3.1327624245805321E-3</v>
      </c>
      <c r="M154" s="4">
        <f t="shared" si="34"/>
        <v>-4.7424542022120986E-4</v>
      </c>
    </row>
    <row r="155" spans="1:13" x14ac:dyDescent="0.4">
      <c r="A155" s="1">
        <f t="shared" si="26"/>
        <v>7.6499999999999808</v>
      </c>
      <c r="B155" s="1">
        <f t="shared" si="36"/>
        <v>2.2999999999998022E-4</v>
      </c>
      <c r="C155" s="1">
        <f t="shared" si="37"/>
        <v>4.7699999999999982E-3</v>
      </c>
      <c r="D155" s="1">
        <f t="shared" si="35"/>
        <v>0</v>
      </c>
      <c r="E155" s="1">
        <f t="shared" si="35"/>
        <v>0</v>
      </c>
      <c r="F155" s="1">
        <f t="shared" si="27"/>
        <v>2.4999999999999892E-3</v>
      </c>
      <c r="G155" s="4">
        <f t="shared" si="28"/>
        <v>-3.1622205196071729E-2</v>
      </c>
      <c r="H155" s="4">
        <f t="shared" si="29"/>
        <v>6.1606219962387678</v>
      </c>
      <c r="I155" s="3">
        <f t="shared" si="30"/>
        <v>352.97763955994151</v>
      </c>
      <c r="J155" s="2">
        <f t="shared" si="31"/>
        <v>0.99259485542275705</v>
      </c>
      <c r="K155" s="2">
        <f t="shared" si="32"/>
        <v>-0.12147202553788281</v>
      </c>
      <c r="L155" s="4">
        <f t="shared" si="33"/>
        <v>3.2568367815083762E-3</v>
      </c>
      <c r="M155" s="4">
        <f t="shared" si="34"/>
        <v>-4.8942942341344514E-4</v>
      </c>
    </row>
    <row r="156" spans="1:13" x14ac:dyDescent="0.4">
      <c r="A156" s="1">
        <f t="shared" si="26"/>
        <v>7.6999999999999806</v>
      </c>
      <c r="B156" s="1">
        <f t="shared" si="36"/>
        <v>2.2999999999998022E-4</v>
      </c>
      <c r="C156" s="1">
        <f t="shared" si="37"/>
        <v>4.7699999999999982E-3</v>
      </c>
      <c r="D156" s="1">
        <f t="shared" si="35"/>
        <v>0</v>
      </c>
      <c r="E156" s="1">
        <f t="shared" si="35"/>
        <v>0</v>
      </c>
      <c r="F156" s="1">
        <f t="shared" si="27"/>
        <v>2.4999999999999892E-3</v>
      </c>
      <c r="G156" s="4">
        <f t="shared" si="28"/>
        <v>-3.1622205196071729E-2</v>
      </c>
      <c r="H156" s="4">
        <f t="shared" si="29"/>
        <v>6.159040885978964</v>
      </c>
      <c r="I156" s="3">
        <f t="shared" si="30"/>
        <v>352.88704861510996</v>
      </c>
      <c r="J156" s="2">
        <f t="shared" si="31"/>
        <v>0.9924015541384501</v>
      </c>
      <c r="K156" s="2">
        <f t="shared" si="32"/>
        <v>-0.1230412749592143</v>
      </c>
      <c r="L156" s="4">
        <f t="shared" si="33"/>
        <v>3.3808869757756821E-3</v>
      </c>
      <c r="M156" s="4">
        <f t="shared" si="34"/>
        <v>-5.0480958278334691E-4</v>
      </c>
    </row>
    <row r="157" spans="1:13" x14ac:dyDescent="0.4">
      <c r="A157" s="1">
        <f t="shared" si="26"/>
        <v>7.7499999999999805</v>
      </c>
      <c r="B157" s="1">
        <f t="shared" si="36"/>
        <v>2.2999999999998022E-4</v>
      </c>
      <c r="C157" s="1">
        <f t="shared" si="37"/>
        <v>4.7699999999999982E-3</v>
      </c>
      <c r="D157" s="1">
        <f t="shared" si="35"/>
        <v>0</v>
      </c>
      <c r="E157" s="1">
        <f t="shared" si="35"/>
        <v>0</v>
      </c>
      <c r="F157" s="1">
        <f t="shared" si="27"/>
        <v>2.4999999999999892E-3</v>
      </c>
      <c r="G157" s="4">
        <f t="shared" si="28"/>
        <v>-3.1622205196071729E-2</v>
      </c>
      <c r="H157" s="4">
        <f t="shared" si="29"/>
        <v>6.1574597757191603</v>
      </c>
      <c r="I157" s="3">
        <f t="shared" si="30"/>
        <v>352.79645767027836</v>
      </c>
      <c r="J157" s="2">
        <f t="shared" si="31"/>
        <v>0.99220577194043469</v>
      </c>
      <c r="K157" s="2">
        <f t="shared" si="32"/>
        <v>-0.12461021678853704</v>
      </c>
      <c r="L157" s="4">
        <f t="shared" si="33"/>
        <v>3.504912697268236E-3</v>
      </c>
      <c r="M157" s="4">
        <f t="shared" si="34"/>
        <v>-5.2038585988191399E-4</v>
      </c>
    </row>
    <row r="158" spans="1:13" x14ac:dyDescent="0.4">
      <c r="A158" s="1">
        <f t="shared" si="26"/>
        <v>7.7999999999999803</v>
      </c>
      <c r="B158" s="1">
        <f t="shared" si="36"/>
        <v>2.2999999999998022E-4</v>
      </c>
      <c r="C158" s="1">
        <f t="shared" si="37"/>
        <v>4.7699999999999982E-3</v>
      </c>
      <c r="D158" s="1">
        <f t="shared" si="35"/>
        <v>0</v>
      </c>
      <c r="E158" s="1">
        <f t="shared" si="35"/>
        <v>0</v>
      </c>
      <c r="F158" s="1">
        <f t="shared" si="27"/>
        <v>2.4999999999999892E-3</v>
      </c>
      <c r="G158" s="4">
        <f t="shared" si="28"/>
        <v>-3.1622205196071729E-2</v>
      </c>
      <c r="H158" s="4">
        <f t="shared" si="29"/>
        <v>6.1558786654593565</v>
      </c>
      <c r="I158" s="3">
        <f t="shared" si="30"/>
        <v>352.70586672544675</v>
      </c>
      <c r="J158" s="2">
        <f t="shared" si="31"/>
        <v>0.99200750931814807</v>
      </c>
      <c r="K158" s="2">
        <f t="shared" si="32"/>
        <v>-0.12617884710364255</v>
      </c>
      <c r="L158" s="4">
        <f t="shared" si="33"/>
        <v>3.6289136359330038E-3</v>
      </c>
      <c r="M158" s="4">
        <f t="shared" si="34"/>
        <v>-5.3615821576986921E-4</v>
      </c>
    </row>
    <row r="159" spans="1:13" x14ac:dyDescent="0.4">
      <c r="A159" s="1">
        <f t="shared" si="26"/>
        <v>7.8499999999999801</v>
      </c>
      <c r="B159" s="1">
        <f t="shared" si="36"/>
        <v>2.2999999999998022E-4</v>
      </c>
      <c r="C159" s="1">
        <f t="shared" si="37"/>
        <v>4.7699999999999982E-3</v>
      </c>
      <c r="D159" s="1">
        <f t="shared" si="35"/>
        <v>0</v>
      </c>
      <c r="E159" s="1">
        <f t="shared" si="35"/>
        <v>0</v>
      </c>
      <c r="F159" s="1">
        <f t="shared" si="27"/>
        <v>2.4999999999999892E-3</v>
      </c>
      <c r="G159" s="4">
        <f t="shared" si="28"/>
        <v>-3.1622205196071729E-2</v>
      </c>
      <c r="H159" s="4">
        <f t="shared" si="29"/>
        <v>6.1542975551995527</v>
      </c>
      <c r="I159" s="3">
        <f t="shared" si="30"/>
        <v>352.61527578061521</v>
      </c>
      <c r="J159" s="2">
        <f t="shared" si="31"/>
        <v>0.99180676676722923</v>
      </c>
      <c r="K159" s="2">
        <f t="shared" si="32"/>
        <v>-0.12774716198309405</v>
      </c>
      <c r="L159" s="4">
        <f t="shared" si="33"/>
        <v>3.7528894817789068E-3</v>
      </c>
      <c r="M159" s="4">
        <f t="shared" si="34"/>
        <v>-5.5212661101775593E-4</v>
      </c>
    </row>
    <row r="160" spans="1:13" x14ac:dyDescent="0.4">
      <c r="A160" s="1">
        <f t="shared" si="26"/>
        <v>7.8999999999999799</v>
      </c>
      <c r="B160" s="1">
        <f t="shared" si="36"/>
        <v>2.2999999999998022E-4</v>
      </c>
      <c r="C160" s="1">
        <f t="shared" si="37"/>
        <v>4.7699999999999982E-3</v>
      </c>
      <c r="D160" s="1">
        <f t="shared" si="35"/>
        <v>0</v>
      </c>
      <c r="E160" s="1">
        <f t="shared" si="35"/>
        <v>0</v>
      </c>
      <c r="F160" s="1">
        <f t="shared" si="27"/>
        <v>2.4999999999999892E-3</v>
      </c>
      <c r="G160" s="4">
        <f t="shared" si="28"/>
        <v>-3.1622205196071729E-2</v>
      </c>
      <c r="H160" s="4">
        <f t="shared" si="29"/>
        <v>6.1527164449397489</v>
      </c>
      <c r="I160" s="3">
        <f t="shared" si="30"/>
        <v>352.52468483578355</v>
      </c>
      <c r="J160" s="2">
        <f t="shared" si="31"/>
        <v>0.99160354478951596</v>
      </c>
      <c r="K160" s="2">
        <f t="shared" si="32"/>
        <v>-0.12931515750625036</v>
      </c>
      <c r="L160" s="4">
        <f t="shared" si="33"/>
        <v>3.8768399248775959E-3</v>
      </c>
      <c r="M160" s="4">
        <f t="shared" si="34"/>
        <v>-5.6829100570603716E-4</v>
      </c>
    </row>
    <row r="161" spans="1:13" x14ac:dyDescent="0.4">
      <c r="A161" s="1">
        <f t="shared" si="26"/>
        <v>7.9499999999999797</v>
      </c>
      <c r="B161" s="1">
        <f t="shared" si="36"/>
        <v>2.2999999999998022E-4</v>
      </c>
      <c r="C161" s="1">
        <f t="shared" si="37"/>
        <v>4.7699999999999982E-3</v>
      </c>
      <c r="D161" s="1">
        <f t="shared" si="35"/>
        <v>0</v>
      </c>
      <c r="E161" s="1">
        <f t="shared" si="35"/>
        <v>0</v>
      </c>
      <c r="F161" s="1">
        <f t="shared" si="27"/>
        <v>2.4999999999999892E-3</v>
      </c>
      <c r="G161" s="4">
        <f t="shared" si="28"/>
        <v>-3.1622205196071729E-2</v>
      </c>
      <c r="H161" s="4">
        <f t="shared" si="29"/>
        <v>6.1511353346799451</v>
      </c>
      <c r="I161" s="3">
        <f t="shared" si="30"/>
        <v>352.43409389095194</v>
      </c>
      <c r="J161" s="2">
        <f t="shared" si="31"/>
        <v>0.99139784389304519</v>
      </c>
      <c r="K161" s="2">
        <f t="shared" si="32"/>
        <v>-0.13088282975326165</v>
      </c>
      <c r="L161" s="4">
        <f t="shared" si="33"/>
        <v>4.000764655364226E-3</v>
      </c>
      <c r="M161" s="4">
        <f t="shared" si="34"/>
        <v>-5.8465135942519484E-4</v>
      </c>
    </row>
    <row r="162" spans="1:13" x14ac:dyDescent="0.4">
      <c r="A162" s="1">
        <f t="shared" si="26"/>
        <v>7.9999999999999796</v>
      </c>
      <c r="B162" s="1">
        <f t="shared" si="36"/>
        <v>2.2999999999998022E-4</v>
      </c>
      <c r="C162" s="1">
        <f t="shared" si="37"/>
        <v>4.7699999999999982E-3</v>
      </c>
      <c r="D162" s="1">
        <f t="shared" si="35"/>
        <v>0</v>
      </c>
      <c r="E162" s="1">
        <f t="shared" si="35"/>
        <v>0</v>
      </c>
      <c r="F162" s="1">
        <f t="shared" si="27"/>
        <v>2.4999999999999892E-3</v>
      </c>
      <c r="G162" s="4">
        <f t="shared" si="28"/>
        <v>-3.1622205196071729E-2</v>
      </c>
      <c r="H162" s="4">
        <f t="shared" si="29"/>
        <v>6.1495542244201413</v>
      </c>
      <c r="I162" s="3">
        <f t="shared" si="30"/>
        <v>352.3435029461204</v>
      </c>
      <c r="J162" s="2">
        <f t="shared" si="31"/>
        <v>0.99118966459204982</v>
      </c>
      <c r="K162" s="2">
        <f t="shared" si="32"/>
        <v>-0.13245017480509327</v>
      </c>
      <c r="L162" s="4">
        <f t="shared" si="33"/>
        <v>4.1246633634382315E-3</v>
      </c>
      <c r="M162" s="4">
        <f t="shared" si="34"/>
        <v>-6.0120763127583139E-4</v>
      </c>
    </row>
    <row r="163" spans="1:13" x14ac:dyDescent="0.4">
      <c r="A163" s="1">
        <f t="shared" si="26"/>
        <v>8.0499999999999794</v>
      </c>
      <c r="B163" s="1">
        <f t="shared" si="36"/>
        <v>2.2999999999998022E-4</v>
      </c>
      <c r="C163" s="1">
        <f t="shared" si="37"/>
        <v>4.7699999999999982E-3</v>
      </c>
      <c r="D163" s="1">
        <f t="shared" si="35"/>
        <v>0</v>
      </c>
      <c r="E163" s="1">
        <f t="shared" si="35"/>
        <v>0</v>
      </c>
      <c r="F163" s="1">
        <f t="shared" si="27"/>
        <v>2.4999999999999892E-3</v>
      </c>
      <c r="G163" s="4">
        <f t="shared" si="28"/>
        <v>-3.1622205196071729E-2</v>
      </c>
      <c r="H163" s="4">
        <f t="shared" si="29"/>
        <v>6.1479731141603375</v>
      </c>
      <c r="I163" s="3">
        <f t="shared" si="30"/>
        <v>352.25291200128879</v>
      </c>
      <c r="J163" s="2">
        <f t="shared" si="31"/>
        <v>0.99097900740695988</v>
      </c>
      <c r="K163" s="2">
        <f t="shared" si="32"/>
        <v>-0.13401718874352148</v>
      </c>
      <c r="L163" s="4">
        <f t="shared" si="33"/>
        <v>4.2485357393641007E-3</v>
      </c>
      <c r="M163" s="4">
        <f t="shared" si="34"/>
        <v>-6.1795977986877151E-4</v>
      </c>
    </row>
    <row r="164" spans="1:13" x14ac:dyDescent="0.4">
      <c r="A164" s="1">
        <f t="shared" si="26"/>
        <v>8.0999999999999801</v>
      </c>
      <c r="B164" s="1">
        <f t="shared" si="36"/>
        <v>2.2999999999998022E-4</v>
      </c>
      <c r="C164" s="1">
        <f t="shared" si="37"/>
        <v>4.7699999999999982E-3</v>
      </c>
      <c r="D164" s="1">
        <f t="shared" si="35"/>
        <v>0</v>
      </c>
      <c r="E164" s="1">
        <f t="shared" si="35"/>
        <v>0</v>
      </c>
      <c r="F164" s="1">
        <f t="shared" si="27"/>
        <v>2.4999999999999892E-3</v>
      </c>
      <c r="G164" s="4">
        <f t="shared" si="28"/>
        <v>-3.1622205196071729E-2</v>
      </c>
      <c r="H164" s="4">
        <f t="shared" si="29"/>
        <v>6.1463920039005338</v>
      </c>
      <c r="I164" s="3">
        <f t="shared" si="30"/>
        <v>352.16232105645724</v>
      </c>
      <c r="J164" s="2">
        <f t="shared" si="31"/>
        <v>0.99076587286439854</v>
      </c>
      <c r="K164" s="2">
        <f t="shared" si="32"/>
        <v>-0.13558386765115735</v>
      </c>
      <c r="L164" s="4">
        <f t="shared" si="33"/>
        <v>4.3723814734721502E-3</v>
      </c>
      <c r="M164" s="4">
        <f t="shared" si="34"/>
        <v>-6.3490776332516608E-4</v>
      </c>
    </row>
    <row r="165" spans="1:13" x14ac:dyDescent="0.4">
      <c r="A165" s="1">
        <f t="shared" si="26"/>
        <v>8.1499999999999808</v>
      </c>
      <c r="B165" s="1">
        <f t="shared" si="36"/>
        <v>2.2999999999998022E-4</v>
      </c>
      <c r="C165" s="1">
        <f t="shared" si="37"/>
        <v>4.7699999999999982E-3</v>
      </c>
      <c r="D165" s="1">
        <f t="shared" si="35"/>
        <v>0</v>
      </c>
      <c r="E165" s="1">
        <f t="shared" si="35"/>
        <v>0</v>
      </c>
      <c r="F165" s="1">
        <f t="shared" si="27"/>
        <v>2.4999999999999892E-3</v>
      </c>
      <c r="G165" s="4">
        <f t="shared" si="28"/>
        <v>-3.1622205196071729E-2</v>
      </c>
      <c r="H165" s="4">
        <f t="shared" si="29"/>
        <v>6.14481089364073</v>
      </c>
      <c r="I165" s="3">
        <f t="shared" si="30"/>
        <v>352.07173011162564</v>
      </c>
      <c r="J165" s="2">
        <f t="shared" si="31"/>
        <v>0.99055026149718328</v>
      </c>
      <c r="K165" s="2">
        <f t="shared" si="32"/>
        <v>-0.13715020761144245</v>
      </c>
      <c r="L165" s="4">
        <f t="shared" si="33"/>
        <v>4.4962002561592974E-3</v>
      </c>
      <c r="M165" s="4">
        <f t="shared" si="34"/>
        <v>-6.5205153927659631E-4</v>
      </c>
    </row>
    <row r="166" spans="1:13" x14ac:dyDescent="0.4">
      <c r="A166" s="1">
        <f t="shared" si="26"/>
        <v>8.1999999999999815</v>
      </c>
      <c r="B166" s="1">
        <f t="shared" si="36"/>
        <v>2.2999999999998022E-4</v>
      </c>
      <c r="C166" s="1">
        <f t="shared" si="37"/>
        <v>4.7699999999999982E-3</v>
      </c>
      <c r="D166" s="1">
        <f t="shared" si="35"/>
        <v>0</v>
      </c>
      <c r="E166" s="1">
        <f t="shared" si="35"/>
        <v>0</v>
      </c>
      <c r="F166" s="1">
        <f t="shared" si="27"/>
        <v>2.4999999999999892E-3</v>
      </c>
      <c r="G166" s="4">
        <f t="shared" si="28"/>
        <v>-3.1622205196071729E-2</v>
      </c>
      <c r="H166" s="4">
        <f t="shared" si="29"/>
        <v>6.1432297833809262</v>
      </c>
      <c r="I166" s="3">
        <f t="shared" si="30"/>
        <v>351.98113916679404</v>
      </c>
      <c r="J166" s="2">
        <f t="shared" si="31"/>
        <v>0.99033217384432259</v>
      </c>
      <c r="K166" s="2">
        <f t="shared" si="32"/>
        <v>-0.13871620470867274</v>
      </c>
      <c r="L166" s="4">
        <f t="shared" si="33"/>
        <v>4.6199917778898371E-3</v>
      </c>
      <c r="M166" s="4">
        <f t="shared" si="34"/>
        <v>-6.6939106486518037E-4</v>
      </c>
    </row>
    <row r="167" spans="1:13" x14ac:dyDescent="0.4">
      <c r="A167" s="1">
        <f t="shared" si="26"/>
        <v>8.2499999999999822</v>
      </c>
      <c r="B167" s="1">
        <f t="shared" si="36"/>
        <v>2.2999999999998022E-4</v>
      </c>
      <c r="C167" s="1">
        <f t="shared" si="37"/>
        <v>4.7699999999999982E-3</v>
      </c>
      <c r="D167" s="1">
        <f t="shared" si="35"/>
        <v>0</v>
      </c>
      <c r="E167" s="1">
        <f t="shared" si="35"/>
        <v>0</v>
      </c>
      <c r="F167" s="1">
        <f t="shared" si="27"/>
        <v>2.4999999999999892E-3</v>
      </c>
      <c r="G167" s="4">
        <f t="shared" si="28"/>
        <v>-3.1622205196071729E-2</v>
      </c>
      <c r="H167" s="4">
        <f t="shared" si="29"/>
        <v>6.1416486731211224</v>
      </c>
      <c r="I167" s="3">
        <f t="shared" si="30"/>
        <v>351.89054822196243</v>
      </c>
      <c r="J167" s="2">
        <f t="shared" si="31"/>
        <v>0.99011161045101614</v>
      </c>
      <c r="K167" s="2">
        <f t="shared" si="32"/>
        <v>-0.14028185502799423</v>
      </c>
      <c r="L167" s="4">
        <f t="shared" si="33"/>
        <v>4.7437557291962135E-3</v>
      </c>
      <c r="M167" s="4">
        <f t="shared" si="34"/>
        <v>-6.8692629674367957E-4</v>
      </c>
    </row>
    <row r="168" spans="1:13" x14ac:dyDescent="0.4">
      <c r="A168" s="1">
        <f t="shared" si="26"/>
        <v>8.2999999999999829</v>
      </c>
      <c r="B168" s="1">
        <f t="shared" si="36"/>
        <v>2.2999999999998022E-4</v>
      </c>
      <c r="C168" s="1">
        <f t="shared" si="37"/>
        <v>4.7699999999999982E-3</v>
      </c>
      <c r="D168" s="1">
        <f t="shared" si="35"/>
        <v>0</v>
      </c>
      <c r="E168" s="1">
        <f t="shared" si="35"/>
        <v>0</v>
      </c>
      <c r="F168" s="1">
        <f t="shared" si="27"/>
        <v>2.4999999999999892E-3</v>
      </c>
      <c r="G168" s="4">
        <f t="shared" si="28"/>
        <v>-3.1622205196071729E-2</v>
      </c>
      <c r="H168" s="4">
        <f t="shared" si="29"/>
        <v>6.1400675628613186</v>
      </c>
      <c r="I168" s="3">
        <f t="shared" si="30"/>
        <v>351.79995727713083</v>
      </c>
      <c r="J168" s="2">
        <f t="shared" si="31"/>
        <v>0.98988857186865198</v>
      </c>
      <c r="K168" s="2">
        <f t="shared" si="32"/>
        <v>-0.14184715465542694</v>
      </c>
      <c r="L168" s="4">
        <f t="shared" si="33"/>
        <v>4.8674918006797949E-3</v>
      </c>
      <c r="M168" s="4">
        <f t="shared" si="34"/>
        <v>-7.0465719107560784E-4</v>
      </c>
    </row>
    <row r="169" spans="1:13" x14ac:dyDescent="0.4">
      <c r="A169" s="1">
        <f t="shared" si="26"/>
        <v>8.3499999999999837</v>
      </c>
      <c r="B169" s="1">
        <f t="shared" si="36"/>
        <v>2.2999999999998022E-4</v>
      </c>
      <c r="C169" s="1">
        <f t="shared" si="37"/>
        <v>4.7699999999999982E-3</v>
      </c>
      <c r="D169" s="1">
        <f t="shared" si="35"/>
        <v>0</v>
      </c>
      <c r="E169" s="1">
        <f t="shared" si="35"/>
        <v>0</v>
      </c>
      <c r="F169" s="1">
        <f t="shared" si="27"/>
        <v>2.4999999999999892E-3</v>
      </c>
      <c r="G169" s="4">
        <f t="shared" si="28"/>
        <v>-3.1622205196071729E-2</v>
      </c>
      <c r="H169" s="4">
        <f t="shared" si="29"/>
        <v>6.1384864526015148</v>
      </c>
      <c r="I169" s="3">
        <f t="shared" si="30"/>
        <v>351.70936633229923</v>
      </c>
      <c r="J169" s="2">
        <f t="shared" si="31"/>
        <v>0.98966305865480675</v>
      </c>
      <c r="K169" s="2">
        <f t="shared" si="32"/>
        <v>-0.14341209967786048</v>
      </c>
      <c r="L169" s="4">
        <f t="shared" si="33"/>
        <v>4.9911996830116455E-3</v>
      </c>
      <c r="M169" s="4">
        <f t="shared" si="34"/>
        <v>-7.2258370353534029E-4</v>
      </c>
    </row>
    <row r="170" spans="1:13" x14ac:dyDescent="0.4">
      <c r="A170" s="1">
        <f t="shared" si="26"/>
        <v>8.3999999999999844</v>
      </c>
      <c r="B170" s="1">
        <f t="shared" si="36"/>
        <v>2.2999999999998022E-4</v>
      </c>
      <c r="C170" s="1">
        <f t="shared" si="37"/>
        <v>4.7699999999999982E-3</v>
      </c>
      <c r="D170" s="1">
        <f t="shared" si="35"/>
        <v>0</v>
      </c>
      <c r="E170" s="1">
        <f t="shared" si="35"/>
        <v>0</v>
      </c>
      <c r="F170" s="1">
        <f t="shared" si="27"/>
        <v>2.4999999999999892E-3</v>
      </c>
      <c r="G170" s="4">
        <f t="shared" si="28"/>
        <v>-3.1622205196071729E-2</v>
      </c>
      <c r="H170" s="4">
        <f t="shared" si="29"/>
        <v>6.136905342341711</v>
      </c>
      <c r="I170" s="3">
        <f t="shared" si="30"/>
        <v>351.61877538746768</v>
      </c>
      <c r="J170" s="2">
        <f t="shared" si="31"/>
        <v>0.98943507137324238</v>
      </c>
      <c r="K170" s="2">
        <f t="shared" si="32"/>
        <v>-0.14497668618307802</v>
      </c>
      <c r="L170" s="4">
        <f t="shared" si="33"/>
        <v>5.1148790669333002E-3</v>
      </c>
      <c r="M170" s="4">
        <f t="shared" si="34"/>
        <v>-7.4070578930822493E-4</v>
      </c>
    </row>
    <row r="171" spans="1:13" x14ac:dyDescent="0.4">
      <c r="A171" s="1">
        <f t="shared" si="26"/>
        <v>8.4499999999999851</v>
      </c>
      <c r="B171" s="1">
        <f t="shared" si="36"/>
        <v>2.2999999999998022E-4</v>
      </c>
      <c r="C171" s="1">
        <f t="shared" si="37"/>
        <v>4.7699999999999982E-3</v>
      </c>
      <c r="D171" s="1">
        <f t="shared" si="35"/>
        <v>0</v>
      </c>
      <c r="E171" s="1">
        <f t="shared" si="35"/>
        <v>0</v>
      </c>
      <c r="F171" s="1">
        <f t="shared" si="27"/>
        <v>2.4999999999999892E-3</v>
      </c>
      <c r="G171" s="4">
        <f t="shared" si="28"/>
        <v>-3.1622205196071729E-2</v>
      </c>
      <c r="H171" s="4">
        <f t="shared" si="29"/>
        <v>6.1353242320819072</v>
      </c>
      <c r="I171" s="3">
        <f t="shared" si="30"/>
        <v>351.52818444263607</v>
      </c>
      <c r="J171" s="2">
        <f t="shared" si="31"/>
        <v>0.98920461059390707</v>
      </c>
      <c r="K171" s="2">
        <f t="shared" si="32"/>
        <v>-0.14654091025975199</v>
      </c>
      <c r="L171" s="4">
        <f t="shared" si="33"/>
        <v>5.238529643257538E-3</v>
      </c>
      <c r="M171" s="4">
        <f t="shared" si="34"/>
        <v>-7.590234030906938E-4</v>
      </c>
    </row>
    <row r="172" spans="1:13" x14ac:dyDescent="0.4">
      <c r="A172" s="1">
        <f t="shared" si="26"/>
        <v>8.4999999999999858</v>
      </c>
      <c r="B172" s="1">
        <f t="shared" si="36"/>
        <v>2.2999999999998022E-4</v>
      </c>
      <c r="C172" s="1">
        <f t="shared" si="37"/>
        <v>4.7699999999999982E-3</v>
      </c>
      <c r="D172" s="1">
        <f t="shared" si="35"/>
        <v>0</v>
      </c>
      <c r="E172" s="1">
        <f t="shared" si="35"/>
        <v>0</v>
      </c>
      <c r="F172" s="1">
        <f t="shared" si="27"/>
        <v>2.4999999999999892E-3</v>
      </c>
      <c r="G172" s="4">
        <f t="shared" si="28"/>
        <v>-3.1622205196071729E-2</v>
      </c>
      <c r="H172" s="4">
        <f t="shared" si="29"/>
        <v>6.1337431218221035</v>
      </c>
      <c r="I172" s="3">
        <f t="shared" si="30"/>
        <v>351.43759349780453</v>
      </c>
      <c r="J172" s="2">
        <f t="shared" si="31"/>
        <v>0.9889716768929312</v>
      </c>
      <c r="K172" s="2">
        <f t="shared" si="32"/>
        <v>-0.1481047679974678</v>
      </c>
      <c r="L172" s="4">
        <f t="shared" si="33"/>
        <v>5.3621511028691541E-3</v>
      </c>
      <c r="M172" s="4">
        <f t="shared" si="34"/>
        <v>-7.7753649909037721E-4</v>
      </c>
    </row>
    <row r="173" spans="1:13" x14ac:dyDescent="0.4">
      <c r="A173" s="1">
        <f t="shared" si="26"/>
        <v>8.5499999999999865</v>
      </c>
      <c r="B173" s="1">
        <f t="shared" si="36"/>
        <v>2.2999999999998022E-4</v>
      </c>
      <c r="C173" s="1">
        <f t="shared" si="37"/>
        <v>4.7699999999999982E-3</v>
      </c>
      <c r="D173" s="1">
        <f t="shared" si="35"/>
        <v>0</v>
      </c>
      <c r="E173" s="1">
        <f t="shared" si="35"/>
        <v>0</v>
      </c>
      <c r="F173" s="1">
        <f t="shared" si="27"/>
        <v>2.4999999999999892E-3</v>
      </c>
      <c r="G173" s="4">
        <f t="shared" si="28"/>
        <v>-3.1622205196071729E-2</v>
      </c>
      <c r="H173" s="4">
        <f t="shared" si="29"/>
        <v>6.1321620115622997</v>
      </c>
      <c r="I173" s="3">
        <f t="shared" si="30"/>
        <v>351.34700255297292</v>
      </c>
      <c r="J173" s="2">
        <f t="shared" si="31"/>
        <v>0.98873627085262827</v>
      </c>
      <c r="K173" s="2">
        <f t="shared" si="32"/>
        <v>-0.14966825548671972</v>
      </c>
      <c r="L173" s="4">
        <f t="shared" si="33"/>
        <v>5.4857431367257318E-3</v>
      </c>
      <c r="M173" s="4">
        <f t="shared" si="34"/>
        <v>-7.9624503102621708E-4</v>
      </c>
    </row>
    <row r="174" spans="1:13" x14ac:dyDescent="0.4">
      <c r="A174" s="1">
        <f t="shared" si="26"/>
        <v>8.5999999999999872</v>
      </c>
      <c r="B174" s="1">
        <f t="shared" si="36"/>
        <v>2.2999999999998022E-4</v>
      </c>
      <c r="C174" s="1">
        <f t="shared" si="37"/>
        <v>4.7699999999999982E-3</v>
      </c>
      <c r="D174" s="1">
        <f t="shared" si="35"/>
        <v>0</v>
      </c>
      <c r="E174" s="1">
        <f t="shared" si="35"/>
        <v>0</v>
      </c>
      <c r="F174" s="1">
        <f t="shared" si="27"/>
        <v>2.4999999999999892E-3</v>
      </c>
      <c r="G174" s="4">
        <f t="shared" si="28"/>
        <v>-3.1622205196071729E-2</v>
      </c>
      <c r="H174" s="4">
        <f t="shared" si="29"/>
        <v>6.1305809013024959</v>
      </c>
      <c r="I174" s="3">
        <f t="shared" si="30"/>
        <v>351.25641160814126</v>
      </c>
      <c r="J174" s="2">
        <f t="shared" si="31"/>
        <v>0.98849839306149168</v>
      </c>
      <c r="K174" s="2">
        <f t="shared" si="32"/>
        <v>-0.15123136881893459</v>
      </c>
      <c r="L174" s="4">
        <f t="shared" si="33"/>
        <v>5.6093054358584181E-3</v>
      </c>
      <c r="M174" s="4">
        <f t="shared" si="34"/>
        <v>-8.1514895212858379E-4</v>
      </c>
    </row>
    <row r="175" spans="1:13" x14ac:dyDescent="0.4">
      <c r="A175" s="1">
        <f t="shared" si="26"/>
        <v>8.6499999999999879</v>
      </c>
      <c r="B175" s="1">
        <f t="shared" si="36"/>
        <v>2.2999999999998022E-4</v>
      </c>
      <c r="C175" s="1">
        <f t="shared" si="37"/>
        <v>4.7699999999999982E-3</v>
      </c>
      <c r="D175" s="1">
        <f t="shared" si="35"/>
        <v>0</v>
      </c>
      <c r="E175" s="1">
        <f t="shared" si="35"/>
        <v>0</v>
      </c>
      <c r="F175" s="1">
        <f t="shared" si="27"/>
        <v>2.4999999999999892E-3</v>
      </c>
      <c r="G175" s="4">
        <f t="shared" si="28"/>
        <v>-3.1622205196071729E-2</v>
      </c>
      <c r="H175" s="4">
        <f t="shared" si="29"/>
        <v>6.1289997910426921</v>
      </c>
      <c r="I175" s="3">
        <f t="shared" si="30"/>
        <v>351.16582066330972</v>
      </c>
      <c r="J175" s="2">
        <f t="shared" si="31"/>
        <v>0.98825804411419471</v>
      </c>
      <c r="K175" s="2">
        <f t="shared" si="32"/>
        <v>-0.15279410408646765</v>
      </c>
      <c r="L175" s="4">
        <f t="shared" si="33"/>
        <v>5.7328376913726919E-3</v>
      </c>
      <c r="M175" s="4">
        <f t="shared" si="34"/>
        <v>-8.3424821513939219E-4</v>
      </c>
    </row>
    <row r="176" spans="1:13" x14ac:dyDescent="0.4">
      <c r="A176" s="1">
        <f t="shared" si="26"/>
        <v>8.6999999999999886</v>
      </c>
      <c r="B176" s="1">
        <f t="shared" si="36"/>
        <v>2.2999999999998022E-4</v>
      </c>
      <c r="C176" s="1">
        <f t="shared" si="37"/>
        <v>4.7699999999999982E-3</v>
      </c>
      <c r="D176" s="1">
        <f t="shared" si="35"/>
        <v>0</v>
      </c>
      <c r="E176" s="1">
        <f t="shared" si="35"/>
        <v>0</v>
      </c>
      <c r="F176" s="1">
        <f t="shared" si="27"/>
        <v>2.4999999999999892E-3</v>
      </c>
      <c r="G176" s="4">
        <f t="shared" si="28"/>
        <v>-3.1622205196071729E-2</v>
      </c>
      <c r="H176" s="4">
        <f t="shared" si="29"/>
        <v>6.1274186807828883</v>
      </c>
      <c r="I176" s="3">
        <f t="shared" si="30"/>
        <v>351.07522971847811</v>
      </c>
      <c r="J176" s="2">
        <f t="shared" si="31"/>
        <v>0.98801522461158742</v>
      </c>
      <c r="K176" s="2">
        <f t="shared" si="32"/>
        <v>-0.15435645738262621</v>
      </c>
      <c r="L176" s="4">
        <f t="shared" si="33"/>
        <v>5.8563395944491396E-3</v>
      </c>
      <c r="M176" s="4">
        <f t="shared" si="34"/>
        <v>-8.5354277231222036E-4</v>
      </c>
    </row>
    <row r="177" spans="1:13" x14ac:dyDescent="0.4">
      <c r="A177" s="1">
        <f t="shared" si="26"/>
        <v>8.7499999999999893</v>
      </c>
      <c r="B177" s="1">
        <f t="shared" si="36"/>
        <v>2.2999999999998022E-4</v>
      </c>
      <c r="C177" s="1">
        <f t="shared" si="37"/>
        <v>4.7699999999999982E-3</v>
      </c>
      <c r="D177" s="1">
        <f t="shared" si="35"/>
        <v>0</v>
      </c>
      <c r="E177" s="1">
        <f t="shared" si="35"/>
        <v>0</v>
      </c>
      <c r="F177" s="1">
        <f t="shared" si="27"/>
        <v>2.4999999999999892E-3</v>
      </c>
      <c r="G177" s="4">
        <f t="shared" si="28"/>
        <v>-3.1622205196071729E-2</v>
      </c>
      <c r="H177" s="4">
        <f t="shared" si="29"/>
        <v>6.1258375705230845</v>
      </c>
      <c r="I177" s="3">
        <f t="shared" si="30"/>
        <v>350.98463877364657</v>
      </c>
      <c r="J177" s="2">
        <f t="shared" si="31"/>
        <v>0.98776993516069689</v>
      </c>
      <c r="K177" s="2">
        <f t="shared" si="32"/>
        <v>-0.15591842480166546</v>
      </c>
      <c r="L177" s="4">
        <f t="shared" si="33"/>
        <v>5.979810836344226E-3</v>
      </c>
      <c r="M177" s="4">
        <f t="shared" si="34"/>
        <v>-8.7303257541242847E-4</v>
      </c>
    </row>
    <row r="178" spans="1:13" x14ac:dyDescent="0.4">
      <c r="A178" s="1">
        <f t="shared" si="26"/>
        <v>8.7999999999999901</v>
      </c>
      <c r="B178" s="1">
        <f t="shared" si="36"/>
        <v>2.2999999999998022E-4</v>
      </c>
      <c r="C178" s="1">
        <f t="shared" si="37"/>
        <v>4.7699999999999982E-3</v>
      </c>
      <c r="D178" s="1">
        <f t="shared" si="35"/>
        <v>0</v>
      </c>
      <c r="E178" s="1">
        <f t="shared" si="35"/>
        <v>0</v>
      </c>
      <c r="F178" s="1">
        <f t="shared" si="27"/>
        <v>2.4999999999999892E-3</v>
      </c>
      <c r="G178" s="4">
        <f t="shared" si="28"/>
        <v>-3.1622205196071729E-2</v>
      </c>
      <c r="H178" s="4">
        <f t="shared" si="29"/>
        <v>6.1242564602632807</v>
      </c>
      <c r="I178" s="3">
        <f t="shared" si="30"/>
        <v>350.89404782881496</v>
      </c>
      <c r="J178" s="2">
        <f t="shared" si="31"/>
        <v>0.98752217637472406</v>
      </c>
      <c r="K178" s="2">
        <f t="shared" si="32"/>
        <v>-0.15748000243881236</v>
      </c>
      <c r="L178" s="4">
        <f t="shared" si="33"/>
        <v>6.1032511083910657E-3</v>
      </c>
      <c r="M178" s="4">
        <f t="shared" si="34"/>
        <v>-8.9271757571727996E-4</v>
      </c>
    </row>
    <row r="179" spans="1:13" x14ac:dyDescent="0.4">
      <c r="A179" s="1">
        <f t="shared" si="26"/>
        <v>8.8499999999999908</v>
      </c>
      <c r="B179" s="1">
        <f t="shared" si="36"/>
        <v>2.2999999999998022E-4</v>
      </c>
      <c r="C179" s="1">
        <f t="shared" si="37"/>
        <v>4.7699999999999982E-3</v>
      </c>
      <c r="D179" s="1">
        <f t="shared" si="35"/>
        <v>0</v>
      </c>
      <c r="E179" s="1">
        <f t="shared" si="35"/>
        <v>0</v>
      </c>
      <c r="F179" s="1">
        <f t="shared" si="27"/>
        <v>2.4999999999999892E-3</v>
      </c>
      <c r="G179" s="4">
        <f t="shared" si="28"/>
        <v>-3.1622205196071729E-2</v>
      </c>
      <c r="H179" s="4">
        <f t="shared" si="29"/>
        <v>6.122675350003477</v>
      </c>
      <c r="I179" s="3">
        <f t="shared" si="30"/>
        <v>350.80345688398336</v>
      </c>
      <c r="J179" s="2">
        <f t="shared" si="31"/>
        <v>0.98727194887304393</v>
      </c>
      <c r="K179" s="2">
        <f t="shared" si="32"/>
        <v>-0.15904118639026113</v>
      </c>
      <c r="L179" s="4">
        <f t="shared" si="33"/>
        <v>6.2266601020001958E-3</v>
      </c>
      <c r="M179" s="4">
        <f t="shared" si="34"/>
        <v>-9.1259772401606251E-4</v>
      </c>
    </row>
    <row r="180" spans="1:13" x14ac:dyDescent="0.4">
      <c r="A180" s="1">
        <f t="shared" si="26"/>
        <v>8.8999999999999915</v>
      </c>
      <c r="B180" s="1">
        <f t="shared" si="36"/>
        <v>2.2999999999998022E-4</v>
      </c>
      <c r="C180" s="1">
        <f t="shared" si="37"/>
        <v>4.7699999999999982E-3</v>
      </c>
      <c r="D180" s="1">
        <f t="shared" si="35"/>
        <v>0</v>
      </c>
      <c r="E180" s="1">
        <f t="shared" si="35"/>
        <v>0</v>
      </c>
      <c r="F180" s="1">
        <f t="shared" si="27"/>
        <v>2.4999999999999892E-3</v>
      </c>
      <c r="G180" s="4">
        <f t="shared" si="28"/>
        <v>-3.1622205196071729E-2</v>
      </c>
      <c r="H180" s="4">
        <f t="shared" si="29"/>
        <v>6.1210942397436732</v>
      </c>
      <c r="I180" s="3">
        <f t="shared" si="30"/>
        <v>350.71286593915181</v>
      </c>
      <c r="J180" s="2">
        <f t="shared" si="31"/>
        <v>0.98701925328120188</v>
      </c>
      <c r="K180" s="2">
        <f t="shared" si="32"/>
        <v>-0.16060197275319732</v>
      </c>
      <c r="L180" s="4">
        <f t="shared" si="33"/>
        <v>6.3500375086603458E-3</v>
      </c>
      <c r="M180" s="4">
        <f t="shared" si="34"/>
        <v>-9.3267297061021205E-4</v>
      </c>
    </row>
    <row r="181" spans="1:13" x14ac:dyDescent="0.4">
      <c r="A181" s="1">
        <f t="shared" si="26"/>
        <v>8.9499999999999922</v>
      </c>
      <c r="B181" s="1">
        <f t="shared" si="36"/>
        <v>2.2999999999998022E-4</v>
      </c>
      <c r="C181" s="1">
        <f t="shared" si="37"/>
        <v>4.7699999999999982E-3</v>
      </c>
      <c r="D181" s="1">
        <f t="shared" si="35"/>
        <v>0</v>
      </c>
      <c r="E181" s="1">
        <f t="shared" si="35"/>
        <v>0</v>
      </c>
      <c r="F181" s="1">
        <f t="shared" si="27"/>
        <v>2.4999999999999892E-3</v>
      </c>
      <c r="G181" s="4">
        <f t="shared" si="28"/>
        <v>-3.1622205196071729E-2</v>
      </c>
      <c r="H181" s="4">
        <f t="shared" si="29"/>
        <v>6.1195131294838694</v>
      </c>
      <c r="I181" s="3">
        <f t="shared" si="30"/>
        <v>350.62227499432015</v>
      </c>
      <c r="J181" s="2">
        <f t="shared" si="31"/>
        <v>0.98676409023091449</v>
      </c>
      <c r="K181" s="2">
        <f t="shared" si="32"/>
        <v>-0.16216235762579329</v>
      </c>
      <c r="L181" s="4">
        <f t="shared" si="33"/>
        <v>6.4733830199392092E-3</v>
      </c>
      <c r="M181" s="4">
        <f t="shared" si="34"/>
        <v>-9.5294326531343608E-4</v>
      </c>
    </row>
    <row r="182" spans="1:13" x14ac:dyDescent="0.4">
      <c r="A182" s="1">
        <f t="shared" si="26"/>
        <v>8.9999999999999929</v>
      </c>
      <c r="B182" s="1">
        <f t="shared" si="36"/>
        <v>2.2999999999998022E-4</v>
      </c>
      <c r="C182" s="1">
        <f t="shared" si="37"/>
        <v>4.7699999999999982E-3</v>
      </c>
      <c r="D182" s="1">
        <f t="shared" si="35"/>
        <v>0</v>
      </c>
      <c r="E182" s="1">
        <f t="shared" si="35"/>
        <v>0</v>
      </c>
      <c r="F182" s="1">
        <f t="shared" si="27"/>
        <v>2.4999999999999892E-3</v>
      </c>
      <c r="G182" s="4">
        <f t="shared" si="28"/>
        <v>-3.1622205196071729E-2</v>
      </c>
      <c r="H182" s="4">
        <f t="shared" si="29"/>
        <v>6.1179320192240656</v>
      </c>
      <c r="I182" s="3">
        <f t="shared" si="30"/>
        <v>350.53168404948855</v>
      </c>
      <c r="J182" s="2">
        <f t="shared" si="31"/>
        <v>0.98650646036006562</v>
      </c>
      <c r="K182" s="2">
        <f t="shared" si="32"/>
        <v>-0.16372233710723219</v>
      </c>
      <c r="L182" s="4">
        <f t="shared" si="33"/>
        <v>6.5966963274842168E-3</v>
      </c>
      <c r="M182" s="4">
        <f t="shared" si="34"/>
        <v>-9.7340855745184005E-4</v>
      </c>
    </row>
    <row r="183" spans="1:13" x14ac:dyDescent="0.4">
      <c r="A183" s="1">
        <f t="shared" si="26"/>
        <v>9.0499999999999936</v>
      </c>
      <c r="B183" s="1">
        <f t="shared" si="36"/>
        <v>2.2999999999998022E-4</v>
      </c>
      <c r="C183" s="1">
        <f t="shared" si="37"/>
        <v>4.7699999999999982E-3</v>
      </c>
      <c r="D183" s="1">
        <f t="shared" si="35"/>
        <v>0</v>
      </c>
      <c r="E183" s="1">
        <f t="shared" si="35"/>
        <v>0</v>
      </c>
      <c r="F183" s="1">
        <f t="shared" si="27"/>
        <v>2.4999999999999892E-3</v>
      </c>
      <c r="G183" s="4">
        <f t="shared" si="28"/>
        <v>-3.1622205196071729E-2</v>
      </c>
      <c r="H183" s="4">
        <f t="shared" si="29"/>
        <v>6.1163509089642618</v>
      </c>
      <c r="I183" s="3">
        <f t="shared" si="30"/>
        <v>350.441093104657</v>
      </c>
      <c r="J183" s="2">
        <f t="shared" si="31"/>
        <v>0.98624636431270729</v>
      </c>
      <c r="K183" s="2">
        <f t="shared" si="32"/>
        <v>-0.16528190729770356</v>
      </c>
      <c r="L183" s="4">
        <f t="shared" si="33"/>
        <v>6.7199771230233045E-3</v>
      </c>
      <c r="M183" s="4">
        <f t="shared" si="34"/>
        <v>-9.9406879586405291E-4</v>
      </c>
    </row>
    <row r="184" spans="1:13" x14ac:dyDescent="0.4">
      <c r="A184" s="1">
        <f t="shared" si="26"/>
        <v>9.0999999999999943</v>
      </c>
      <c r="B184" s="1">
        <f t="shared" si="36"/>
        <v>2.2999999999998022E-4</v>
      </c>
      <c r="C184" s="1">
        <f t="shared" si="37"/>
        <v>4.7699999999999982E-3</v>
      </c>
      <c r="D184" s="1">
        <f t="shared" si="35"/>
        <v>0</v>
      </c>
      <c r="E184" s="1">
        <f t="shared" si="35"/>
        <v>0</v>
      </c>
      <c r="F184" s="1">
        <f t="shared" si="27"/>
        <v>2.4999999999999892E-3</v>
      </c>
      <c r="G184" s="4">
        <f t="shared" si="28"/>
        <v>-3.1622205196071729E-2</v>
      </c>
      <c r="H184" s="4">
        <f t="shared" si="29"/>
        <v>6.114769798704458</v>
      </c>
      <c r="I184" s="3">
        <f t="shared" si="30"/>
        <v>350.3505021598254</v>
      </c>
      <c r="J184" s="2">
        <f t="shared" si="31"/>
        <v>0.98598380273905517</v>
      </c>
      <c r="K184" s="2">
        <f t="shared" si="32"/>
        <v>-0.16684106429842713</v>
      </c>
      <c r="L184" s="4">
        <f t="shared" si="33"/>
        <v>6.8432250983656859E-3</v>
      </c>
      <c r="M184" s="4">
        <f t="shared" si="34"/>
        <v>-1.0149239289013563E-3</v>
      </c>
    </row>
    <row r="185" spans="1:13" x14ac:dyDescent="0.4">
      <c r="A185" s="1">
        <f t="shared" si="26"/>
        <v>9.149999999999995</v>
      </c>
      <c r="B185" s="1">
        <f t="shared" si="36"/>
        <v>2.2999999999998022E-4</v>
      </c>
      <c r="C185" s="1">
        <f t="shared" si="37"/>
        <v>4.7699999999999982E-3</v>
      </c>
      <c r="D185" s="1">
        <f t="shared" si="35"/>
        <v>0</v>
      </c>
      <c r="E185" s="1">
        <f t="shared" si="35"/>
        <v>0</v>
      </c>
      <c r="F185" s="1">
        <f t="shared" si="27"/>
        <v>2.4999999999999892E-3</v>
      </c>
      <c r="G185" s="4">
        <f t="shared" si="28"/>
        <v>-3.1622205196071729E-2</v>
      </c>
      <c r="H185" s="4">
        <f t="shared" si="29"/>
        <v>6.1131886884446542</v>
      </c>
      <c r="I185" s="3">
        <f t="shared" si="30"/>
        <v>350.25991121499385</v>
      </c>
      <c r="J185" s="2">
        <f t="shared" si="31"/>
        <v>0.9857187762954901</v>
      </c>
      <c r="K185" s="2">
        <f t="shared" si="32"/>
        <v>-0.16839980421164855</v>
      </c>
      <c r="L185" s="4">
        <f t="shared" si="33"/>
        <v>6.9664399454026213E-3</v>
      </c>
      <c r="M185" s="4">
        <f t="shared" si="34"/>
        <v>-1.0359739044278123E-3</v>
      </c>
    </row>
    <row r="186" spans="1:13" x14ac:dyDescent="0.4">
      <c r="A186" s="1">
        <f t="shared" si="26"/>
        <v>9.1999999999999957</v>
      </c>
      <c r="B186" s="1">
        <f t="shared" si="36"/>
        <v>2.2999999999998022E-4</v>
      </c>
      <c r="C186" s="1">
        <f t="shared" si="37"/>
        <v>4.7699999999999982E-3</v>
      </c>
      <c r="D186" s="1">
        <f t="shared" si="35"/>
        <v>0</v>
      </c>
      <c r="E186" s="1">
        <f t="shared" si="35"/>
        <v>0</v>
      </c>
      <c r="F186" s="1">
        <f t="shared" si="27"/>
        <v>2.4999999999999892E-3</v>
      </c>
      <c r="G186" s="4">
        <f t="shared" si="28"/>
        <v>-3.1622205196071729E-2</v>
      </c>
      <c r="H186" s="4">
        <f t="shared" si="29"/>
        <v>6.1116075781848505</v>
      </c>
      <c r="I186" s="3">
        <f t="shared" si="30"/>
        <v>350.16932027016225</v>
      </c>
      <c r="J186" s="2">
        <f t="shared" si="31"/>
        <v>0.98545128564455342</v>
      </c>
      <c r="K186" s="2">
        <f t="shared" si="32"/>
        <v>-0.16995812314066322</v>
      </c>
      <c r="L186" s="4">
        <f t="shared" si="33"/>
        <v>7.0896213561081898E-3</v>
      </c>
      <c r="M186" s="4">
        <f t="shared" si="34"/>
        <v>-1.0572186698203951E-3</v>
      </c>
    </row>
    <row r="187" spans="1:13" x14ac:dyDescent="0.4">
      <c r="A187" s="1">
        <f t="shared" si="26"/>
        <v>9.2499999999999964</v>
      </c>
      <c r="B187" s="1">
        <f t="shared" si="36"/>
        <v>2.2999999999998022E-4</v>
      </c>
      <c r="C187" s="1">
        <f t="shared" si="37"/>
        <v>4.7699999999999982E-3</v>
      </c>
      <c r="D187" s="1">
        <f t="shared" si="35"/>
        <v>0</v>
      </c>
      <c r="E187" s="1">
        <f t="shared" si="35"/>
        <v>0</v>
      </c>
      <c r="F187" s="1">
        <f t="shared" si="27"/>
        <v>2.4999999999999892E-3</v>
      </c>
      <c r="G187" s="4">
        <f t="shared" si="28"/>
        <v>-3.1622205196071729E-2</v>
      </c>
      <c r="H187" s="4">
        <f t="shared" si="29"/>
        <v>6.1100264679250467</v>
      </c>
      <c r="I187" s="3">
        <f t="shared" si="30"/>
        <v>350.07872932533064</v>
      </c>
      <c r="J187" s="2">
        <f t="shared" si="31"/>
        <v>0.98518133145494802</v>
      </c>
      <c r="K187" s="2">
        <f t="shared" si="32"/>
        <v>-0.17151601718981191</v>
      </c>
      <c r="L187" s="4">
        <f t="shared" si="33"/>
        <v>7.2127690225400574E-3</v>
      </c>
      <c r="M187" s="4">
        <f t="shared" si="34"/>
        <v>-1.0786581719691214E-3</v>
      </c>
    </row>
    <row r="188" spans="1:13" x14ac:dyDescent="0.4">
      <c r="A188" s="1">
        <f t="shared" si="26"/>
        <v>9.2999999999999972</v>
      </c>
      <c r="B188" s="1">
        <f t="shared" si="36"/>
        <v>2.2999999999998022E-4</v>
      </c>
      <c r="C188" s="1">
        <f t="shared" si="37"/>
        <v>4.7699999999999982E-3</v>
      </c>
      <c r="D188" s="1">
        <f t="shared" si="35"/>
        <v>0</v>
      </c>
      <c r="E188" s="1">
        <f t="shared" si="35"/>
        <v>0</v>
      </c>
      <c r="F188" s="1">
        <f t="shared" si="27"/>
        <v>2.4999999999999892E-3</v>
      </c>
      <c r="G188" s="4">
        <f t="shared" si="28"/>
        <v>-3.1622205196071729E-2</v>
      </c>
      <c r="H188" s="4">
        <f t="shared" si="29"/>
        <v>6.1084453576652429</v>
      </c>
      <c r="I188" s="3">
        <f t="shared" si="30"/>
        <v>349.98813838049904</v>
      </c>
      <c r="J188" s="2">
        <f t="shared" si="31"/>
        <v>0.98490891440153427</v>
      </c>
      <c r="K188" s="2">
        <f t="shared" si="32"/>
        <v>-0.17307348246450452</v>
      </c>
      <c r="L188" s="4">
        <f t="shared" si="33"/>
        <v>7.3358826368402491E-3</v>
      </c>
      <c r="M188" s="4">
        <f t="shared" si="34"/>
        <v>-1.1002923572771843E-3</v>
      </c>
    </row>
    <row r="189" spans="1:13" x14ac:dyDescent="0.4">
      <c r="A189" s="1">
        <f t="shared" si="26"/>
        <v>9.3499999999999979</v>
      </c>
      <c r="B189" s="1">
        <f t="shared" si="36"/>
        <v>2.2999999999998022E-4</v>
      </c>
      <c r="C189" s="1">
        <f t="shared" si="37"/>
        <v>4.7699999999999982E-3</v>
      </c>
      <c r="D189" s="1">
        <f t="shared" si="35"/>
        <v>0</v>
      </c>
      <c r="E189" s="1">
        <f t="shared" si="35"/>
        <v>0</v>
      </c>
      <c r="F189" s="1">
        <f t="shared" si="27"/>
        <v>2.4999999999999892E-3</v>
      </c>
      <c r="G189" s="4">
        <f t="shared" si="28"/>
        <v>-3.1622205196071729E-2</v>
      </c>
      <c r="H189" s="4">
        <f t="shared" si="29"/>
        <v>6.1068642474054391</v>
      </c>
      <c r="I189" s="3">
        <f t="shared" si="30"/>
        <v>349.89754743566743</v>
      </c>
      <c r="J189" s="2">
        <f t="shared" si="31"/>
        <v>0.98463403516533077</v>
      </c>
      <c r="K189" s="2">
        <f t="shared" si="32"/>
        <v>-0.17463051507121591</v>
      </c>
      <c r="L189" s="4">
        <f t="shared" si="33"/>
        <v>7.458961891235915E-3</v>
      </c>
      <c r="M189" s="4">
        <f t="shared" si="34"/>
        <v>-1.1221211716610862E-3</v>
      </c>
    </row>
    <row r="190" spans="1:13" x14ac:dyDescent="0.4">
      <c r="A190" s="1">
        <f t="shared" si="26"/>
        <v>9.3999999999999986</v>
      </c>
      <c r="B190" s="1">
        <f t="shared" si="36"/>
        <v>2.2999999999998022E-4</v>
      </c>
      <c r="C190" s="1">
        <f t="shared" si="37"/>
        <v>4.7699999999999982E-3</v>
      </c>
      <c r="D190" s="1">
        <f t="shared" si="35"/>
        <v>0</v>
      </c>
      <c r="E190" s="1">
        <f t="shared" si="35"/>
        <v>0</v>
      </c>
      <c r="F190" s="1">
        <f t="shared" si="27"/>
        <v>2.4999999999999892E-3</v>
      </c>
      <c r="G190" s="4">
        <f t="shared" si="28"/>
        <v>-3.1622205196071729E-2</v>
      </c>
      <c r="H190" s="4">
        <f t="shared" si="29"/>
        <v>6.1052831371456353</v>
      </c>
      <c r="I190" s="3">
        <f t="shared" si="30"/>
        <v>349.80695649083583</v>
      </c>
      <c r="J190" s="2">
        <f t="shared" si="31"/>
        <v>0.98435669443350993</v>
      </c>
      <c r="K190" s="2">
        <f t="shared" si="32"/>
        <v>-0.17618711111750956</v>
      </c>
      <c r="L190" s="4">
        <f t="shared" si="33"/>
        <v>7.5820064780401028E-3</v>
      </c>
      <c r="M190" s="4">
        <f t="shared" si="34"/>
        <v>-1.1441445605507748E-3</v>
      </c>
    </row>
    <row r="191" spans="1:13" x14ac:dyDescent="0.4">
      <c r="A191" s="1">
        <f t="shared" si="26"/>
        <v>9.4499999999999993</v>
      </c>
      <c r="B191" s="1">
        <f t="shared" si="36"/>
        <v>2.2999999999998022E-4</v>
      </c>
      <c r="C191" s="1">
        <f t="shared" si="37"/>
        <v>4.7699999999999982E-3</v>
      </c>
      <c r="D191" s="1">
        <f t="shared" si="35"/>
        <v>0</v>
      </c>
      <c r="E191" s="1">
        <f t="shared" si="35"/>
        <v>0</v>
      </c>
      <c r="F191" s="1">
        <f t="shared" si="27"/>
        <v>2.4999999999999892E-3</v>
      </c>
      <c r="G191" s="4">
        <f t="shared" si="28"/>
        <v>-3.1622205196071729E-2</v>
      </c>
      <c r="H191" s="4">
        <f t="shared" si="29"/>
        <v>6.1037020268858315</v>
      </c>
      <c r="I191" s="3">
        <f t="shared" si="30"/>
        <v>349.71636554600428</v>
      </c>
      <c r="J191" s="2">
        <f t="shared" si="31"/>
        <v>0.98407689289939893</v>
      </c>
      <c r="K191" s="2">
        <f t="shared" si="32"/>
        <v>-0.17774326671203328</v>
      </c>
      <c r="L191" s="4">
        <f t="shared" si="33"/>
        <v>7.705016089652527E-3</v>
      </c>
      <c r="M191" s="4">
        <f t="shared" si="34"/>
        <v>-1.1663624688897788E-3</v>
      </c>
    </row>
    <row r="192" spans="1:13" x14ac:dyDescent="0.4">
      <c r="A192" s="1">
        <f t="shared" si="26"/>
        <v>9.5</v>
      </c>
      <c r="B192" s="1">
        <f t="shared" si="36"/>
        <v>2.2999999999998022E-4</v>
      </c>
      <c r="C192" s="1">
        <f t="shared" si="37"/>
        <v>4.7699999999999982E-3</v>
      </c>
      <c r="D192" s="1">
        <f t="shared" si="35"/>
        <v>0</v>
      </c>
      <c r="E192" s="1">
        <f t="shared" si="35"/>
        <v>0</v>
      </c>
      <c r="F192" s="1">
        <f t="shared" si="27"/>
        <v>2.4999999999999892E-3</v>
      </c>
      <c r="G192" s="4">
        <f t="shared" si="28"/>
        <v>-3.1622205196071729E-2</v>
      </c>
      <c r="H192" s="4">
        <f t="shared" si="29"/>
        <v>6.1021209166260277</v>
      </c>
      <c r="I192" s="3">
        <f t="shared" si="30"/>
        <v>349.62577460117268</v>
      </c>
      <c r="J192" s="2">
        <f t="shared" si="31"/>
        <v>0.98379463126247557</v>
      </c>
      <c r="K192" s="2">
        <f t="shared" si="32"/>
        <v>-0.179298977964543</v>
      </c>
      <c r="L192" s="4">
        <f t="shared" si="33"/>
        <v>7.8279904185603356E-3</v>
      </c>
      <c r="M192" s="4">
        <f t="shared" si="34"/>
        <v>-1.1887748411353466E-3</v>
      </c>
    </row>
    <row r="193" spans="1:13" x14ac:dyDescent="0.4">
      <c r="A193" s="1">
        <f t="shared" si="26"/>
        <v>9.5500000000000007</v>
      </c>
      <c r="B193" s="1">
        <f t="shared" si="36"/>
        <v>2.2999999999998022E-4</v>
      </c>
      <c r="C193" s="1">
        <f t="shared" si="37"/>
        <v>4.7699999999999982E-3</v>
      </c>
      <c r="D193" s="1">
        <f t="shared" si="35"/>
        <v>0</v>
      </c>
      <c r="E193" s="1">
        <f t="shared" si="35"/>
        <v>0</v>
      </c>
      <c r="F193" s="1">
        <f t="shared" si="27"/>
        <v>2.4999999999999892E-3</v>
      </c>
      <c r="G193" s="4">
        <f t="shared" si="28"/>
        <v>-3.1622205196071729E-2</v>
      </c>
      <c r="H193" s="4">
        <f t="shared" si="29"/>
        <v>6.1005398063662239</v>
      </c>
      <c r="I193" s="3">
        <f t="shared" si="30"/>
        <v>349.53518365634113</v>
      </c>
      <c r="J193" s="2">
        <f t="shared" si="31"/>
        <v>0.98350991022836909</v>
      </c>
      <c r="K193" s="2">
        <f t="shared" si="32"/>
        <v>-0.18085424098589845</v>
      </c>
      <c r="L193" s="4">
        <f t="shared" si="33"/>
        <v>7.9509291573388804E-3</v>
      </c>
      <c r="M193" s="4">
        <f t="shared" si="34"/>
        <v>-1.2113816212585837E-3</v>
      </c>
    </row>
    <row r="194" spans="1:13" x14ac:dyDescent="0.4">
      <c r="A194" s="1">
        <f t="shared" si="26"/>
        <v>9.6000000000000014</v>
      </c>
      <c r="B194" s="1">
        <f t="shared" si="36"/>
        <v>2.2999999999998022E-4</v>
      </c>
      <c r="C194" s="1">
        <f t="shared" si="37"/>
        <v>4.7699999999999982E-3</v>
      </c>
      <c r="D194" s="1">
        <f t="shared" si="35"/>
        <v>0</v>
      </c>
      <c r="E194" s="1">
        <f t="shared" si="35"/>
        <v>0</v>
      </c>
      <c r="F194" s="1">
        <f t="shared" si="27"/>
        <v>2.4999999999999892E-3</v>
      </c>
      <c r="G194" s="4">
        <f t="shared" si="28"/>
        <v>-3.1622205196071729E-2</v>
      </c>
      <c r="H194" s="4">
        <f t="shared" si="29"/>
        <v>6.0989586961064202</v>
      </c>
      <c r="I194" s="3">
        <f t="shared" si="30"/>
        <v>349.44459271150953</v>
      </c>
      <c r="J194" s="2">
        <f t="shared" si="31"/>
        <v>0.98322273050885534</v>
      </c>
      <c r="K194" s="2">
        <f t="shared" si="32"/>
        <v>-0.18240905188808687</v>
      </c>
      <c r="L194" s="4">
        <f t="shared" si="33"/>
        <v>8.0738319986524872E-3</v>
      </c>
      <c r="M194" s="4">
        <f t="shared" si="34"/>
        <v>-1.2341827527445944E-3</v>
      </c>
    </row>
    <row r="195" spans="1:13" x14ac:dyDescent="0.4">
      <c r="A195" s="1">
        <f t="shared" si="26"/>
        <v>9.6500000000000021</v>
      </c>
      <c r="B195" s="1">
        <f t="shared" si="36"/>
        <v>2.2999999999998022E-4</v>
      </c>
      <c r="C195" s="1">
        <f t="shared" si="37"/>
        <v>4.7699999999999982E-3</v>
      </c>
      <c r="D195" s="1">
        <f t="shared" si="35"/>
        <v>0</v>
      </c>
      <c r="E195" s="1">
        <f t="shared" si="35"/>
        <v>0</v>
      </c>
      <c r="F195" s="1">
        <f t="shared" si="27"/>
        <v>2.4999999999999892E-3</v>
      </c>
      <c r="G195" s="4">
        <f t="shared" si="28"/>
        <v>-3.1622205196071729E-2</v>
      </c>
      <c r="H195" s="4">
        <f t="shared" si="29"/>
        <v>6.0973775858466164</v>
      </c>
      <c r="I195" s="3">
        <f t="shared" si="30"/>
        <v>349.35400176667787</v>
      </c>
      <c r="J195" s="2">
        <f t="shared" si="31"/>
        <v>0.98293309282185837</v>
      </c>
      <c r="K195" s="2">
        <f t="shared" si="32"/>
        <v>-0.18396340678421882</v>
      </c>
      <c r="L195" s="4">
        <f t="shared" si="33"/>
        <v>8.1966986352552187E-3</v>
      </c>
      <c r="M195" s="4">
        <f t="shared" si="34"/>
        <v>-1.2571781785926217E-3</v>
      </c>
    </row>
    <row r="196" spans="1:13" x14ac:dyDescent="0.4">
      <c r="A196" s="1">
        <f t="shared" ref="A196:A259" si="38">A195+$P$3</f>
        <v>9.7000000000000028</v>
      </c>
      <c r="B196" s="1">
        <f t="shared" si="36"/>
        <v>2.2999999999998022E-4</v>
      </c>
      <c r="C196" s="1">
        <f t="shared" si="37"/>
        <v>4.7699999999999982E-3</v>
      </c>
      <c r="D196" s="1">
        <f t="shared" si="35"/>
        <v>0</v>
      </c>
      <c r="E196" s="1">
        <f t="shared" si="35"/>
        <v>0</v>
      </c>
      <c r="F196" s="1">
        <f t="shared" ref="F196:F259" si="39">(B196+C196)/2</f>
        <v>2.4999999999999892E-3</v>
      </c>
      <c r="G196" s="4">
        <f t="shared" ref="G196:G259" si="40">(B196-C196)/R$3</f>
        <v>-3.1622205196071729E-2</v>
      </c>
      <c r="H196" s="4">
        <f t="shared" ref="H196:H259" si="41">H195+G196*P$3</f>
        <v>6.0957964755868126</v>
      </c>
      <c r="I196" s="3">
        <f t="shared" ref="I196:I259" si="42">H196*180/PI()</f>
        <v>349.26341082184632</v>
      </c>
      <c r="J196" s="2">
        <f t="shared" ref="J196:J259" si="43">COS((H196+H195)/2)</f>
        <v>0.98264099789144532</v>
      </c>
      <c r="K196" s="2">
        <f t="shared" ref="K196:K259" si="44">SIN((H196+H195)/2)</f>
        <v>-0.18551730178855177</v>
      </c>
      <c r="L196" s="4">
        <f t="shared" ref="L196:L259" si="45">L195+F196*P$3*J196</f>
        <v>8.3195287599916491E-3</v>
      </c>
      <c r="M196" s="4">
        <f t="shared" ref="M196:M259" si="46">M195+F196*P$3*K196</f>
        <v>-1.2803678413161905E-3</v>
      </c>
    </row>
    <row r="197" spans="1:13" x14ac:dyDescent="0.4">
      <c r="A197" s="1">
        <f t="shared" si="38"/>
        <v>9.7500000000000036</v>
      </c>
      <c r="B197" s="1">
        <f t="shared" si="36"/>
        <v>2.2999999999998022E-4</v>
      </c>
      <c r="C197" s="1">
        <f t="shared" si="37"/>
        <v>4.7699999999999982E-3</v>
      </c>
      <c r="D197" s="1">
        <f t="shared" ref="D197:E260" si="47">(B197-B196)/$P$3</f>
        <v>0</v>
      </c>
      <c r="E197" s="1">
        <f t="shared" si="47"/>
        <v>0</v>
      </c>
      <c r="F197" s="1">
        <f t="shared" si="39"/>
        <v>2.4999999999999892E-3</v>
      </c>
      <c r="G197" s="4">
        <f t="shared" si="40"/>
        <v>-3.1622205196071729E-2</v>
      </c>
      <c r="H197" s="4">
        <f t="shared" si="41"/>
        <v>6.0942153653270088</v>
      </c>
      <c r="I197" s="3">
        <f t="shared" si="42"/>
        <v>349.17281987701472</v>
      </c>
      <c r="J197" s="2">
        <f t="shared" si="43"/>
        <v>0.98234644644782765</v>
      </c>
      <c r="K197" s="2">
        <f t="shared" si="44"/>
        <v>-0.18707073301648597</v>
      </c>
      <c r="L197" s="4">
        <f t="shared" si="45"/>
        <v>8.4423220657976264E-3</v>
      </c>
      <c r="M197" s="4">
        <f t="shared" si="46"/>
        <v>-1.3037516829432511E-3</v>
      </c>
    </row>
    <row r="198" spans="1:13" x14ac:dyDescent="0.4">
      <c r="A198" s="1">
        <f t="shared" si="38"/>
        <v>9.8000000000000043</v>
      </c>
      <c r="B198" s="1">
        <f t="shared" si="36"/>
        <v>2.2999999999998022E-4</v>
      </c>
      <c r="C198" s="1">
        <f t="shared" si="37"/>
        <v>4.7699999999999982E-3</v>
      </c>
      <c r="D198" s="1">
        <f t="shared" si="47"/>
        <v>0</v>
      </c>
      <c r="E198" s="1">
        <f t="shared" si="47"/>
        <v>0</v>
      </c>
      <c r="F198" s="1">
        <f t="shared" si="39"/>
        <v>2.4999999999999892E-3</v>
      </c>
      <c r="G198" s="4">
        <f t="shared" si="40"/>
        <v>-3.1622205196071729E-2</v>
      </c>
      <c r="H198" s="4">
        <f t="shared" si="41"/>
        <v>6.092634255067205</v>
      </c>
      <c r="I198" s="3">
        <f t="shared" si="42"/>
        <v>349.08222893218317</v>
      </c>
      <c r="J198" s="2">
        <f t="shared" si="43"/>
        <v>0.98204943922735644</v>
      </c>
      <c r="K198" s="2">
        <f t="shared" si="44"/>
        <v>-0.18862369658458791</v>
      </c>
      <c r="L198" s="4">
        <f t="shared" si="45"/>
        <v>8.5650782457010449E-3</v>
      </c>
      <c r="M198" s="4">
        <f t="shared" si="46"/>
        <v>-1.3273296450163246E-3</v>
      </c>
    </row>
    <row r="199" spans="1:13" x14ac:dyDescent="0.4">
      <c r="A199" s="1">
        <f t="shared" si="38"/>
        <v>9.850000000000005</v>
      </c>
      <c r="B199" s="1">
        <f t="shared" ref="B199:B262" si="48">B198</f>
        <v>2.2999999999998022E-4</v>
      </c>
      <c r="C199" s="1">
        <f t="shared" ref="C199:C262" si="49">C198</f>
        <v>4.7699999999999982E-3</v>
      </c>
      <c r="D199" s="1">
        <f t="shared" si="47"/>
        <v>0</v>
      </c>
      <c r="E199" s="1">
        <f t="shared" si="47"/>
        <v>0</v>
      </c>
      <c r="F199" s="1">
        <f t="shared" si="39"/>
        <v>2.4999999999999892E-3</v>
      </c>
      <c r="G199" s="4">
        <f t="shared" si="40"/>
        <v>-3.1622205196071729E-2</v>
      </c>
      <c r="H199" s="4">
        <f t="shared" si="41"/>
        <v>6.0910531448074012</v>
      </c>
      <c r="I199" s="3">
        <f t="shared" si="42"/>
        <v>348.99163798735157</v>
      </c>
      <c r="J199" s="2">
        <f t="shared" si="43"/>
        <v>0.98174997697252364</v>
      </c>
      <c r="K199" s="2">
        <f t="shared" si="44"/>
        <v>-0.19017618861058636</v>
      </c>
      <c r="L199" s="4">
        <f t="shared" si="45"/>
        <v>8.6877969928226099E-3</v>
      </c>
      <c r="M199" s="4">
        <f t="shared" si="46"/>
        <v>-1.3511016685926478E-3</v>
      </c>
    </row>
    <row r="200" spans="1:13" x14ac:dyDescent="0.4">
      <c r="A200" s="1">
        <f t="shared" si="38"/>
        <v>9.9000000000000057</v>
      </c>
      <c r="B200" s="1">
        <f t="shared" si="48"/>
        <v>2.2999999999998022E-4</v>
      </c>
      <c r="C200" s="1">
        <f t="shared" si="49"/>
        <v>4.7699999999999982E-3</v>
      </c>
      <c r="D200" s="1">
        <f t="shared" si="47"/>
        <v>0</v>
      </c>
      <c r="E200" s="1">
        <f t="shared" si="47"/>
        <v>0</v>
      </c>
      <c r="F200" s="1">
        <f t="shared" si="39"/>
        <v>2.4999999999999892E-3</v>
      </c>
      <c r="G200" s="4">
        <f t="shared" si="40"/>
        <v>-3.1622205196071729E-2</v>
      </c>
      <c r="H200" s="4">
        <f t="shared" si="41"/>
        <v>6.0894720345475974</v>
      </c>
      <c r="I200" s="3">
        <f t="shared" si="42"/>
        <v>348.90104704251996</v>
      </c>
      <c r="J200" s="2">
        <f t="shared" si="43"/>
        <v>0.98144806043195687</v>
      </c>
      <c r="K200" s="2">
        <f t="shared" si="44"/>
        <v>-0.19172820521339579</v>
      </c>
      <c r="L200" s="4">
        <f t="shared" si="45"/>
        <v>8.8104780003766033E-3</v>
      </c>
      <c r="M200" s="4">
        <f t="shared" si="46"/>
        <v>-1.3750676942443222E-3</v>
      </c>
    </row>
    <row r="201" spans="1:13" x14ac:dyDescent="0.4">
      <c r="A201" s="1">
        <f t="shared" si="38"/>
        <v>9.9500000000000064</v>
      </c>
      <c r="B201" s="1">
        <f t="shared" si="48"/>
        <v>2.2999999999998022E-4</v>
      </c>
      <c r="C201" s="1">
        <f t="shared" si="49"/>
        <v>4.7699999999999982E-3</v>
      </c>
      <c r="D201" s="1">
        <f t="shared" si="47"/>
        <v>0</v>
      </c>
      <c r="E201" s="1">
        <f t="shared" si="47"/>
        <v>0</v>
      </c>
      <c r="F201" s="1">
        <f t="shared" si="39"/>
        <v>2.4999999999999892E-3</v>
      </c>
      <c r="G201" s="4">
        <f t="shared" si="40"/>
        <v>-3.1622205196071729E-2</v>
      </c>
      <c r="H201" s="4">
        <f t="shared" si="41"/>
        <v>6.0878909242877937</v>
      </c>
      <c r="I201" s="3">
        <f t="shared" si="42"/>
        <v>348.81045609768842</v>
      </c>
      <c r="J201" s="2">
        <f t="shared" si="43"/>
        <v>0.98114369036042071</v>
      </c>
      <c r="K201" s="2">
        <f t="shared" si="44"/>
        <v>-0.19327974251311225</v>
      </c>
      <c r="L201" s="4">
        <f t="shared" si="45"/>
        <v>8.9331209616716548E-3</v>
      </c>
      <c r="M201" s="4">
        <f t="shared" si="46"/>
        <v>-1.3992276620584611E-3</v>
      </c>
    </row>
    <row r="202" spans="1:13" x14ac:dyDescent="0.4">
      <c r="A202" s="1">
        <f t="shared" si="38"/>
        <v>10.000000000000007</v>
      </c>
      <c r="B202" s="1">
        <f t="shared" si="48"/>
        <v>2.2999999999998022E-4</v>
      </c>
      <c r="C202" s="1">
        <f t="shared" si="49"/>
        <v>4.7699999999999982E-3</v>
      </c>
      <c r="D202" s="1">
        <f t="shared" si="47"/>
        <v>0</v>
      </c>
      <c r="E202" s="1">
        <f t="shared" si="47"/>
        <v>0</v>
      </c>
      <c r="F202" s="1">
        <f t="shared" si="39"/>
        <v>2.4999999999999892E-3</v>
      </c>
      <c r="G202" s="4">
        <f t="shared" si="40"/>
        <v>-3.1622205196071729E-2</v>
      </c>
      <c r="H202" s="4">
        <f t="shared" si="41"/>
        <v>6.0863098140279899</v>
      </c>
      <c r="I202" s="3">
        <f t="shared" si="42"/>
        <v>348.71986515285676</v>
      </c>
      <c r="J202" s="2">
        <f t="shared" si="43"/>
        <v>0.98083686751881194</v>
      </c>
      <c r="K202" s="2">
        <f t="shared" si="44"/>
        <v>-0.19483079663103695</v>
      </c>
      <c r="L202" s="4">
        <f t="shared" si="45"/>
        <v>9.0557255701115055E-3</v>
      </c>
      <c r="M202" s="4">
        <f t="shared" si="46"/>
        <v>-1.4235815116373405E-3</v>
      </c>
    </row>
    <row r="203" spans="1:13" x14ac:dyDescent="0.4">
      <c r="A203" s="1">
        <f t="shared" si="38"/>
        <v>10.050000000000008</v>
      </c>
      <c r="B203" s="1">
        <f t="shared" si="48"/>
        <v>2.2999999999998022E-4</v>
      </c>
      <c r="C203" s="1">
        <f t="shared" si="49"/>
        <v>4.7699999999999982E-3</v>
      </c>
      <c r="D203" s="1">
        <f t="shared" si="47"/>
        <v>0</v>
      </c>
      <c r="E203" s="1">
        <f t="shared" si="47"/>
        <v>0</v>
      </c>
      <c r="F203" s="1">
        <f t="shared" si="39"/>
        <v>2.4999999999999892E-3</v>
      </c>
      <c r="G203" s="4">
        <f t="shared" si="40"/>
        <v>-3.1622205196071729E-2</v>
      </c>
      <c r="H203" s="4">
        <f t="shared" si="41"/>
        <v>6.0847287037681861</v>
      </c>
      <c r="I203" s="3">
        <f t="shared" si="42"/>
        <v>348.62927420802515</v>
      </c>
      <c r="J203" s="2">
        <f t="shared" si="43"/>
        <v>0.98052759267416068</v>
      </c>
      <c r="K203" s="2">
        <f t="shared" si="44"/>
        <v>-0.19638136368967202</v>
      </c>
      <c r="L203" s="4">
        <f t="shared" si="45"/>
        <v>9.1782915191957748E-3</v>
      </c>
      <c r="M203" s="4">
        <f t="shared" si="46"/>
        <v>-1.4481291820985494E-3</v>
      </c>
    </row>
    <row r="204" spans="1:13" x14ac:dyDescent="0.4">
      <c r="A204" s="1">
        <f t="shared" si="38"/>
        <v>10.100000000000009</v>
      </c>
      <c r="B204" s="1">
        <f t="shared" si="48"/>
        <v>2.2999999999998022E-4</v>
      </c>
      <c r="C204" s="1">
        <f t="shared" si="49"/>
        <v>4.7699999999999982E-3</v>
      </c>
      <c r="D204" s="1">
        <f t="shared" si="47"/>
        <v>0</v>
      </c>
      <c r="E204" s="1">
        <f t="shared" si="47"/>
        <v>0</v>
      </c>
      <c r="F204" s="1">
        <f t="shared" si="39"/>
        <v>2.4999999999999892E-3</v>
      </c>
      <c r="G204" s="4">
        <f t="shared" si="40"/>
        <v>-3.1622205196071729E-2</v>
      </c>
      <c r="H204" s="4">
        <f t="shared" si="41"/>
        <v>6.0831475935083823</v>
      </c>
      <c r="I204" s="3">
        <f t="shared" si="42"/>
        <v>348.5386832631936</v>
      </c>
      <c r="J204" s="2">
        <f t="shared" si="43"/>
        <v>0.98021586659962512</v>
      </c>
      <c r="K204" s="2">
        <f t="shared" si="44"/>
        <v>-0.19793143981274425</v>
      </c>
      <c r="L204" s="4">
        <f t="shared" si="45"/>
        <v>9.300818502520727E-3</v>
      </c>
      <c r="M204" s="4">
        <f t="shared" si="46"/>
        <v>-1.4728706120751423E-3</v>
      </c>
    </row>
    <row r="205" spans="1:13" x14ac:dyDescent="0.4">
      <c r="A205" s="1">
        <f t="shared" si="38"/>
        <v>10.150000000000009</v>
      </c>
      <c r="B205" s="1">
        <f t="shared" si="48"/>
        <v>2.2999999999998022E-4</v>
      </c>
      <c r="C205" s="1">
        <f t="shared" si="49"/>
        <v>4.7699999999999982E-3</v>
      </c>
      <c r="D205" s="1">
        <f t="shared" si="47"/>
        <v>0</v>
      </c>
      <c r="E205" s="1">
        <f t="shared" si="47"/>
        <v>0</v>
      </c>
      <c r="F205" s="1">
        <f t="shared" si="39"/>
        <v>2.4999999999999892E-3</v>
      </c>
      <c r="G205" s="4">
        <f t="shared" si="40"/>
        <v>-3.1622205196071729E-2</v>
      </c>
      <c r="H205" s="4">
        <f t="shared" si="41"/>
        <v>6.0815664832485785</v>
      </c>
      <c r="I205" s="3">
        <f t="shared" si="42"/>
        <v>348.448092318362</v>
      </c>
      <c r="J205" s="2">
        <f t="shared" si="43"/>
        <v>0.97990169007449279</v>
      </c>
      <c r="K205" s="2">
        <f t="shared" si="44"/>
        <v>-0.19948102112520064</v>
      </c>
      <c r="L205" s="4">
        <f t="shared" si="45"/>
        <v>9.4233062137800382E-3</v>
      </c>
      <c r="M205" s="4">
        <f t="shared" si="46"/>
        <v>-1.4978057397157924E-3</v>
      </c>
    </row>
    <row r="206" spans="1:13" x14ac:dyDescent="0.4">
      <c r="A206" s="1">
        <f t="shared" si="38"/>
        <v>10.20000000000001</v>
      </c>
      <c r="B206" s="1">
        <f t="shared" si="48"/>
        <v>2.2999999999998022E-4</v>
      </c>
      <c r="C206" s="1">
        <f t="shared" si="49"/>
        <v>4.7699999999999982E-3</v>
      </c>
      <c r="D206" s="1">
        <f t="shared" si="47"/>
        <v>0</v>
      </c>
      <c r="E206" s="1">
        <f t="shared" si="47"/>
        <v>0</v>
      </c>
      <c r="F206" s="1">
        <f t="shared" si="39"/>
        <v>2.4999999999999892E-3</v>
      </c>
      <c r="G206" s="4">
        <f t="shared" si="40"/>
        <v>-3.1622205196071729E-2</v>
      </c>
      <c r="H206" s="4">
        <f t="shared" si="41"/>
        <v>6.0799853729887747</v>
      </c>
      <c r="I206" s="3">
        <f t="shared" si="42"/>
        <v>348.35750137353045</v>
      </c>
      <c r="J206" s="2">
        <f t="shared" si="43"/>
        <v>0.97958506388417577</v>
      </c>
      <c r="K206" s="2">
        <f t="shared" si="44"/>
        <v>-0.20103010375323224</v>
      </c>
      <c r="L206" s="4">
        <f t="shared" si="45"/>
        <v>9.545754346765559E-3</v>
      </c>
      <c r="M206" s="4">
        <f t="shared" si="46"/>
        <v>-1.5229345026849463E-3</v>
      </c>
    </row>
    <row r="207" spans="1:13" x14ac:dyDescent="0.4">
      <c r="A207" s="1">
        <f t="shared" si="38"/>
        <v>10.250000000000011</v>
      </c>
      <c r="B207" s="1">
        <f t="shared" si="48"/>
        <v>2.2999999999998022E-4</v>
      </c>
      <c r="C207" s="1">
        <f t="shared" si="49"/>
        <v>4.7699999999999982E-3</v>
      </c>
      <c r="D207" s="1">
        <f t="shared" si="47"/>
        <v>0</v>
      </c>
      <c r="E207" s="1">
        <f t="shared" si="47"/>
        <v>0</v>
      </c>
      <c r="F207" s="1">
        <f t="shared" si="39"/>
        <v>2.4999999999999892E-3</v>
      </c>
      <c r="G207" s="4">
        <f t="shared" si="40"/>
        <v>-3.1622205196071729E-2</v>
      </c>
      <c r="H207" s="4">
        <f t="shared" si="41"/>
        <v>6.0784042627289709</v>
      </c>
      <c r="I207" s="3">
        <f t="shared" si="42"/>
        <v>348.26691042869885</v>
      </c>
      <c r="J207" s="2">
        <f t="shared" si="43"/>
        <v>0.97926598882021143</v>
      </c>
      <c r="K207" s="2">
        <f t="shared" si="44"/>
        <v>-0.20257868382426975</v>
      </c>
      <c r="L207" s="4">
        <f t="shared" si="45"/>
        <v>9.6681625953680857E-3</v>
      </c>
      <c r="M207" s="4">
        <f t="shared" si="46"/>
        <v>-1.5482568381629798E-3</v>
      </c>
    </row>
    <row r="208" spans="1:13" x14ac:dyDescent="0.4">
      <c r="A208" s="1">
        <f t="shared" si="38"/>
        <v>10.300000000000011</v>
      </c>
      <c r="B208" s="1">
        <f t="shared" si="48"/>
        <v>2.2999999999998022E-4</v>
      </c>
      <c r="C208" s="1">
        <f t="shared" si="49"/>
        <v>4.7699999999999982E-3</v>
      </c>
      <c r="D208" s="1">
        <f t="shared" si="47"/>
        <v>0</v>
      </c>
      <c r="E208" s="1">
        <f t="shared" si="47"/>
        <v>0</v>
      </c>
      <c r="F208" s="1">
        <f t="shared" si="39"/>
        <v>2.4999999999999892E-3</v>
      </c>
      <c r="G208" s="4">
        <f t="shared" si="40"/>
        <v>-3.1622205196071729E-2</v>
      </c>
      <c r="H208" s="4">
        <f t="shared" si="41"/>
        <v>6.0768231524691672</v>
      </c>
      <c r="I208" s="3">
        <f t="shared" si="42"/>
        <v>348.17631948386725</v>
      </c>
      <c r="J208" s="2">
        <f t="shared" si="43"/>
        <v>0.97894446568025795</v>
      </c>
      <c r="K208" s="2">
        <f t="shared" si="44"/>
        <v>-0.20412675746700717</v>
      </c>
      <c r="L208" s="4">
        <f t="shared" si="45"/>
        <v>9.7905306535781174E-3</v>
      </c>
      <c r="M208" s="4">
        <f t="shared" si="46"/>
        <v>-1.5737726828463556E-3</v>
      </c>
    </row>
    <row r="209" spans="1:13" x14ac:dyDescent="0.4">
      <c r="A209" s="1">
        <f t="shared" si="38"/>
        <v>10.350000000000012</v>
      </c>
      <c r="B209" s="1">
        <f t="shared" si="48"/>
        <v>2.2999999999998022E-4</v>
      </c>
      <c r="C209" s="1">
        <f t="shared" si="49"/>
        <v>4.7699999999999982E-3</v>
      </c>
      <c r="D209" s="1">
        <f t="shared" si="47"/>
        <v>0</v>
      </c>
      <c r="E209" s="1">
        <f t="shared" si="47"/>
        <v>0</v>
      </c>
      <c r="F209" s="1">
        <f t="shared" si="39"/>
        <v>2.4999999999999892E-3</v>
      </c>
      <c r="G209" s="4">
        <f t="shared" si="40"/>
        <v>-3.1622205196071729E-2</v>
      </c>
      <c r="H209" s="4">
        <f t="shared" si="41"/>
        <v>6.0752420422093634</v>
      </c>
      <c r="I209" s="3">
        <f t="shared" si="42"/>
        <v>348.08572853903564</v>
      </c>
      <c r="J209" s="2">
        <f t="shared" si="43"/>
        <v>0.97862049526809436</v>
      </c>
      <c r="K209" s="2">
        <f t="shared" si="44"/>
        <v>-0.20567432081139764</v>
      </c>
      <c r="L209" s="4">
        <f t="shared" si="45"/>
        <v>9.9128582154866286E-3</v>
      </c>
      <c r="M209" s="4">
        <f t="shared" si="46"/>
        <v>-1.5994819729477801E-3</v>
      </c>
    </row>
    <row r="210" spans="1:13" x14ac:dyDescent="0.4">
      <c r="A210" s="1">
        <f t="shared" si="38"/>
        <v>10.400000000000013</v>
      </c>
      <c r="B210" s="1">
        <f t="shared" si="48"/>
        <v>2.2999999999998022E-4</v>
      </c>
      <c r="C210" s="1">
        <f t="shared" si="49"/>
        <v>4.7699999999999982E-3</v>
      </c>
      <c r="D210" s="1">
        <f t="shared" si="47"/>
        <v>0</v>
      </c>
      <c r="E210" s="1">
        <f t="shared" si="47"/>
        <v>0</v>
      </c>
      <c r="F210" s="1">
        <f t="shared" si="39"/>
        <v>2.4999999999999892E-3</v>
      </c>
      <c r="G210" s="4">
        <f t="shared" si="40"/>
        <v>-3.1622205196071729E-2</v>
      </c>
      <c r="H210" s="4">
        <f t="shared" si="41"/>
        <v>6.0736609319495596</v>
      </c>
      <c r="I210" s="3">
        <f t="shared" si="42"/>
        <v>347.99513759420404</v>
      </c>
      <c r="J210" s="2">
        <f t="shared" si="43"/>
        <v>0.97829407839361671</v>
      </c>
      <c r="K210" s="2">
        <f t="shared" si="44"/>
        <v>-0.20722136998867682</v>
      </c>
      <c r="L210" s="4">
        <f t="shared" si="45"/>
        <v>1.0035144975285831E-2</v>
      </c>
      <c r="M210" s="4">
        <f t="shared" si="46"/>
        <v>-1.6253846441963646E-3</v>
      </c>
    </row>
    <row r="211" spans="1:13" x14ac:dyDescent="0.4">
      <c r="A211" s="1">
        <f t="shared" si="38"/>
        <v>10.450000000000014</v>
      </c>
      <c r="B211" s="1">
        <f t="shared" si="48"/>
        <v>2.2999999999998022E-4</v>
      </c>
      <c r="C211" s="1">
        <f t="shared" si="49"/>
        <v>4.7699999999999982E-3</v>
      </c>
      <c r="D211" s="1">
        <f t="shared" si="47"/>
        <v>0</v>
      </c>
      <c r="E211" s="1">
        <f t="shared" si="47"/>
        <v>0</v>
      </c>
      <c r="F211" s="1">
        <f t="shared" si="39"/>
        <v>2.4999999999999892E-3</v>
      </c>
      <c r="G211" s="4">
        <f t="shared" si="40"/>
        <v>-3.1622205196071729E-2</v>
      </c>
      <c r="H211" s="4">
        <f t="shared" si="41"/>
        <v>6.0720798216897558</v>
      </c>
      <c r="I211" s="3">
        <f t="shared" si="42"/>
        <v>347.90454664937243</v>
      </c>
      <c r="J211" s="2">
        <f t="shared" si="43"/>
        <v>0.97796521587283824</v>
      </c>
      <c r="K211" s="2">
        <f t="shared" si="44"/>
        <v>-0.2087679011313589</v>
      </c>
      <c r="L211" s="4">
        <f t="shared" si="45"/>
        <v>1.0157390627269934E-2</v>
      </c>
      <c r="M211" s="4">
        <f t="shared" si="46"/>
        <v>-1.6514806318377842E-3</v>
      </c>
    </row>
    <row r="212" spans="1:13" x14ac:dyDescent="0.4">
      <c r="A212" s="1">
        <f t="shared" si="38"/>
        <v>10.500000000000014</v>
      </c>
      <c r="B212" s="1">
        <f t="shared" si="48"/>
        <v>2.2999999999998022E-4</v>
      </c>
      <c r="C212" s="1">
        <f t="shared" si="49"/>
        <v>4.7699999999999982E-3</v>
      </c>
      <c r="D212" s="1">
        <f t="shared" si="47"/>
        <v>0</v>
      </c>
      <c r="E212" s="1">
        <f t="shared" si="47"/>
        <v>0</v>
      </c>
      <c r="F212" s="1">
        <f t="shared" si="39"/>
        <v>2.4999999999999892E-3</v>
      </c>
      <c r="G212" s="4">
        <f t="shared" si="40"/>
        <v>-3.1622205196071729E-2</v>
      </c>
      <c r="H212" s="4">
        <f t="shared" si="41"/>
        <v>6.070498711429952</v>
      </c>
      <c r="I212" s="3">
        <f t="shared" si="42"/>
        <v>347.81395570454089</v>
      </c>
      <c r="J212" s="2">
        <f t="shared" si="43"/>
        <v>0.97763390852788468</v>
      </c>
      <c r="K212" s="2">
        <f t="shared" si="44"/>
        <v>-0.21031391037326005</v>
      </c>
      <c r="L212" s="4">
        <f t="shared" si="45"/>
        <v>1.027959486583592E-2</v>
      </c>
      <c r="M212" s="4">
        <f t="shared" si="46"/>
        <v>-1.6777698706344417E-3</v>
      </c>
    </row>
    <row r="213" spans="1:13" x14ac:dyDescent="0.4">
      <c r="A213" s="1">
        <f t="shared" si="38"/>
        <v>10.550000000000015</v>
      </c>
      <c r="B213" s="1">
        <f t="shared" si="48"/>
        <v>2.2999999999998022E-4</v>
      </c>
      <c r="C213" s="1">
        <f t="shared" si="49"/>
        <v>4.7699999999999982E-3</v>
      </c>
      <c r="D213" s="1">
        <f t="shared" si="47"/>
        <v>0</v>
      </c>
      <c r="E213" s="1">
        <f t="shared" si="47"/>
        <v>0</v>
      </c>
      <c r="F213" s="1">
        <f t="shared" si="39"/>
        <v>2.4999999999999892E-3</v>
      </c>
      <c r="G213" s="4">
        <f t="shared" si="40"/>
        <v>-3.1622205196071729E-2</v>
      </c>
      <c r="H213" s="4">
        <f t="shared" si="41"/>
        <v>6.0689176011701482</v>
      </c>
      <c r="I213" s="3">
        <f t="shared" si="42"/>
        <v>347.72336475970928</v>
      </c>
      <c r="J213" s="2">
        <f t="shared" si="43"/>
        <v>0.97730015718699492</v>
      </c>
      <c r="K213" s="2">
        <f t="shared" si="44"/>
        <v>-0.21185939384949415</v>
      </c>
      <c r="L213" s="4">
        <f t="shared" si="45"/>
        <v>1.0401757385484293E-2</v>
      </c>
      <c r="M213" s="4">
        <f t="shared" si="46"/>
        <v>-1.7042522948656283E-3</v>
      </c>
    </row>
    <row r="214" spans="1:13" x14ac:dyDescent="0.4">
      <c r="A214" s="1">
        <f t="shared" si="38"/>
        <v>10.600000000000016</v>
      </c>
      <c r="B214" s="1">
        <f t="shared" si="48"/>
        <v>2.2999999999998022E-4</v>
      </c>
      <c r="C214" s="1">
        <f t="shared" si="49"/>
        <v>4.7699999999999982E-3</v>
      </c>
      <c r="D214" s="1">
        <f t="shared" si="47"/>
        <v>0</v>
      </c>
      <c r="E214" s="1">
        <f t="shared" si="47"/>
        <v>0</v>
      </c>
      <c r="F214" s="1">
        <f t="shared" si="39"/>
        <v>2.4999999999999892E-3</v>
      </c>
      <c r="G214" s="4">
        <f t="shared" si="40"/>
        <v>-3.1622205196071729E-2</v>
      </c>
      <c r="H214" s="4">
        <f t="shared" si="41"/>
        <v>6.0673364909103444</v>
      </c>
      <c r="I214" s="3">
        <f t="shared" si="42"/>
        <v>347.63277381487774</v>
      </c>
      <c r="J214" s="2">
        <f t="shared" si="43"/>
        <v>0.97696396268451624</v>
      </c>
      <c r="K214" s="2">
        <f t="shared" si="44"/>
        <v>-0.21340434769649641</v>
      </c>
      <c r="L214" s="4">
        <f t="shared" si="45"/>
        <v>1.0523877880819857E-2</v>
      </c>
      <c r="M214" s="4">
        <f t="shared" si="46"/>
        <v>-1.7309278383276902E-3</v>
      </c>
    </row>
    <row r="215" spans="1:13" x14ac:dyDescent="0.4">
      <c r="A215" s="1">
        <f t="shared" si="38"/>
        <v>10.650000000000016</v>
      </c>
      <c r="B215" s="1">
        <f t="shared" si="48"/>
        <v>2.2999999999998022E-4</v>
      </c>
      <c r="C215" s="1">
        <f t="shared" si="49"/>
        <v>4.7699999999999982E-3</v>
      </c>
      <c r="D215" s="1">
        <f t="shared" si="47"/>
        <v>0</v>
      </c>
      <c r="E215" s="1">
        <f t="shared" si="47"/>
        <v>0</v>
      </c>
      <c r="F215" s="1">
        <f t="shared" si="39"/>
        <v>2.4999999999999892E-3</v>
      </c>
      <c r="G215" s="4">
        <f t="shared" si="40"/>
        <v>-3.1622205196071729E-2</v>
      </c>
      <c r="H215" s="4">
        <f t="shared" si="41"/>
        <v>6.0657553806505407</v>
      </c>
      <c r="I215" s="3">
        <f t="shared" si="42"/>
        <v>347.54218287004613</v>
      </c>
      <c r="J215" s="2">
        <f t="shared" si="43"/>
        <v>0.97662532586090522</v>
      </c>
      <c r="K215" s="2">
        <f t="shared" si="44"/>
        <v>-0.21494876805201915</v>
      </c>
      <c r="L215" s="4">
        <f t="shared" si="45"/>
        <v>1.064595604655247E-2</v>
      </c>
      <c r="M215" s="4">
        <f t="shared" si="46"/>
        <v>-1.7577964343341926E-3</v>
      </c>
    </row>
    <row r="216" spans="1:13" x14ac:dyDescent="0.4">
      <c r="A216" s="1">
        <f t="shared" si="38"/>
        <v>10.700000000000017</v>
      </c>
      <c r="B216" s="1">
        <f t="shared" si="48"/>
        <v>2.2999999999998022E-4</v>
      </c>
      <c r="C216" s="1">
        <f t="shared" si="49"/>
        <v>4.7699999999999982E-3</v>
      </c>
      <c r="D216" s="1">
        <f t="shared" si="47"/>
        <v>0</v>
      </c>
      <c r="E216" s="1">
        <f t="shared" si="47"/>
        <v>0</v>
      </c>
      <c r="F216" s="1">
        <f t="shared" si="39"/>
        <v>2.4999999999999892E-3</v>
      </c>
      <c r="G216" s="4">
        <f t="shared" si="40"/>
        <v>-3.1622205196071729E-2</v>
      </c>
      <c r="H216" s="4">
        <f t="shared" si="41"/>
        <v>6.0641742703907369</v>
      </c>
      <c r="I216" s="3">
        <f t="shared" si="42"/>
        <v>347.45159192521447</v>
      </c>
      <c r="J216" s="2">
        <f t="shared" si="43"/>
        <v>0.97628424756272225</v>
      </c>
      <c r="K216" s="2">
        <f t="shared" si="44"/>
        <v>-0.21649265105515525</v>
      </c>
      <c r="L216" s="4">
        <f t="shared" si="45"/>
        <v>1.0767991577497809E-2</v>
      </c>
      <c r="M216" s="4">
        <f t="shared" si="46"/>
        <v>-1.7848580157160869E-3</v>
      </c>
    </row>
    <row r="217" spans="1:13" x14ac:dyDescent="0.4">
      <c r="A217" s="1">
        <f t="shared" si="38"/>
        <v>10.750000000000018</v>
      </c>
      <c r="B217" s="1">
        <f t="shared" si="48"/>
        <v>2.2999999999998022E-4</v>
      </c>
      <c r="C217" s="1">
        <f t="shared" si="49"/>
        <v>4.7699999999999982E-3</v>
      </c>
      <c r="D217" s="1">
        <f t="shared" si="47"/>
        <v>0</v>
      </c>
      <c r="E217" s="1">
        <f t="shared" si="47"/>
        <v>0</v>
      </c>
      <c r="F217" s="1">
        <f t="shared" si="39"/>
        <v>2.4999999999999892E-3</v>
      </c>
      <c r="G217" s="4">
        <f t="shared" si="40"/>
        <v>-3.1622205196071729E-2</v>
      </c>
      <c r="H217" s="4">
        <f t="shared" si="41"/>
        <v>6.0625931601309331</v>
      </c>
      <c r="I217" s="3">
        <f t="shared" si="42"/>
        <v>347.36100098038293</v>
      </c>
      <c r="J217" s="2">
        <f t="shared" si="43"/>
        <v>0.97594072864263293</v>
      </c>
      <c r="K217" s="2">
        <f t="shared" si="44"/>
        <v>-0.21803599284633407</v>
      </c>
      <c r="L217" s="4">
        <f t="shared" si="45"/>
        <v>1.0889984168578138E-2</v>
      </c>
      <c r="M217" s="4">
        <f t="shared" si="46"/>
        <v>-1.8121125148218785E-3</v>
      </c>
    </row>
    <row r="218" spans="1:13" x14ac:dyDescent="0.4">
      <c r="A218" s="1">
        <f t="shared" si="38"/>
        <v>10.800000000000018</v>
      </c>
      <c r="B218" s="1">
        <f t="shared" si="48"/>
        <v>2.2999999999998022E-4</v>
      </c>
      <c r="C218" s="1">
        <f t="shared" si="49"/>
        <v>4.7699999999999982E-3</v>
      </c>
      <c r="D218" s="1">
        <f t="shared" si="47"/>
        <v>0</v>
      </c>
      <c r="E218" s="1">
        <f t="shared" si="47"/>
        <v>0</v>
      </c>
      <c r="F218" s="1">
        <f t="shared" si="39"/>
        <v>2.4999999999999892E-3</v>
      </c>
      <c r="G218" s="4">
        <f t="shared" si="40"/>
        <v>-3.1622205196071729E-2</v>
      </c>
      <c r="H218" s="4">
        <f t="shared" si="41"/>
        <v>6.0610120498711293</v>
      </c>
      <c r="I218" s="3">
        <f t="shared" si="42"/>
        <v>347.27041003555132</v>
      </c>
      <c r="J218" s="2">
        <f t="shared" si="43"/>
        <v>0.97559476995940264</v>
      </c>
      <c r="K218" s="2">
        <f t="shared" si="44"/>
        <v>-0.21957878956734481</v>
      </c>
      <c r="L218" s="4">
        <f t="shared" si="45"/>
        <v>1.1011933514823062E-2</v>
      </c>
      <c r="M218" s="4">
        <f t="shared" si="46"/>
        <v>-1.8395598635177965E-3</v>
      </c>
    </row>
    <row r="219" spans="1:13" x14ac:dyDescent="0.4">
      <c r="A219" s="1">
        <f t="shared" si="38"/>
        <v>10.850000000000019</v>
      </c>
      <c r="B219" s="1">
        <f t="shared" si="48"/>
        <v>2.2999999999998022E-4</v>
      </c>
      <c r="C219" s="1">
        <f t="shared" si="49"/>
        <v>4.7699999999999982E-3</v>
      </c>
      <c r="D219" s="1">
        <f t="shared" si="47"/>
        <v>0</v>
      </c>
      <c r="E219" s="1">
        <f t="shared" si="47"/>
        <v>0</v>
      </c>
      <c r="F219" s="1">
        <f t="shared" si="39"/>
        <v>2.4999999999999892E-3</v>
      </c>
      <c r="G219" s="4">
        <f t="shared" si="40"/>
        <v>-3.1622205196071729E-2</v>
      </c>
      <c r="H219" s="4">
        <f t="shared" si="41"/>
        <v>6.0594309396113255</v>
      </c>
      <c r="I219" s="3">
        <f t="shared" si="42"/>
        <v>347.17981909071977</v>
      </c>
      <c r="J219" s="2">
        <f t="shared" si="43"/>
        <v>0.97524637237789724</v>
      </c>
      <c r="K219" s="2">
        <f t="shared" si="44"/>
        <v>-0.2211210373613324</v>
      </c>
      <c r="L219" s="4">
        <f t="shared" si="45"/>
        <v>1.1133839311370299E-2</v>
      </c>
      <c r="M219" s="4">
        <f t="shared" si="46"/>
        <v>-1.867199993187963E-3</v>
      </c>
    </row>
    <row r="220" spans="1:13" x14ac:dyDescent="0.4">
      <c r="A220" s="1">
        <f t="shared" si="38"/>
        <v>10.90000000000002</v>
      </c>
      <c r="B220" s="1">
        <f t="shared" si="48"/>
        <v>2.2999999999998022E-4</v>
      </c>
      <c r="C220" s="1">
        <f t="shared" si="49"/>
        <v>4.7699999999999982E-3</v>
      </c>
      <c r="D220" s="1">
        <f t="shared" si="47"/>
        <v>0</v>
      </c>
      <c r="E220" s="1">
        <f t="shared" si="47"/>
        <v>0</v>
      </c>
      <c r="F220" s="1">
        <f t="shared" si="39"/>
        <v>2.4999999999999892E-3</v>
      </c>
      <c r="G220" s="4">
        <f t="shared" si="40"/>
        <v>-3.1622205196071729E-2</v>
      </c>
      <c r="H220" s="4">
        <f t="shared" si="41"/>
        <v>6.0578498293515217</v>
      </c>
      <c r="I220" s="3">
        <f t="shared" si="42"/>
        <v>347.08922814588817</v>
      </c>
      <c r="J220" s="2">
        <f t="shared" si="43"/>
        <v>0.97489553676907836</v>
      </c>
      <c r="K220" s="2">
        <f t="shared" si="44"/>
        <v>-0.22266273237282094</v>
      </c>
      <c r="L220" s="4">
        <f t="shared" si="45"/>
        <v>1.1255701253466434E-2</v>
      </c>
      <c r="M220" s="4">
        <f t="shared" si="46"/>
        <v>-1.8950328347345656E-3</v>
      </c>
    </row>
    <row r="221" spans="1:13" x14ac:dyDescent="0.4">
      <c r="A221" s="1">
        <f t="shared" si="38"/>
        <v>10.950000000000021</v>
      </c>
      <c r="B221" s="1">
        <f t="shared" si="48"/>
        <v>2.2999999999998022E-4</v>
      </c>
      <c r="C221" s="1">
        <f t="shared" si="49"/>
        <v>4.7699999999999982E-3</v>
      </c>
      <c r="D221" s="1">
        <f t="shared" si="47"/>
        <v>0</v>
      </c>
      <c r="E221" s="1">
        <f t="shared" si="47"/>
        <v>0</v>
      </c>
      <c r="F221" s="1">
        <f t="shared" si="39"/>
        <v>2.4999999999999892E-3</v>
      </c>
      <c r="G221" s="4">
        <f t="shared" si="40"/>
        <v>-3.1622205196071729E-2</v>
      </c>
      <c r="H221" s="4">
        <f t="shared" si="41"/>
        <v>6.0562687190917179</v>
      </c>
      <c r="I221" s="3">
        <f t="shared" si="42"/>
        <v>346.99863720105657</v>
      </c>
      <c r="J221" s="2">
        <f t="shared" si="43"/>
        <v>0.97454226401000399</v>
      </c>
      <c r="K221" s="2">
        <f t="shared" si="44"/>
        <v>-0.22420387074770953</v>
      </c>
      <c r="L221" s="4">
        <f t="shared" si="45"/>
        <v>1.1377519036467684E-2</v>
      </c>
      <c r="M221" s="4">
        <f t="shared" si="46"/>
        <v>-1.9230583185780293E-3</v>
      </c>
    </row>
    <row r="222" spans="1:13" x14ac:dyDescent="0.4">
      <c r="A222" s="1">
        <f t="shared" si="38"/>
        <v>11.000000000000021</v>
      </c>
      <c r="B222" s="1">
        <f t="shared" si="48"/>
        <v>2.2999999999998022E-4</v>
      </c>
      <c r="C222" s="1">
        <f t="shared" si="49"/>
        <v>4.7699999999999982E-3</v>
      </c>
      <c r="D222" s="1">
        <f t="shared" si="47"/>
        <v>0</v>
      </c>
      <c r="E222" s="1">
        <f t="shared" si="47"/>
        <v>0</v>
      </c>
      <c r="F222" s="1">
        <f t="shared" si="39"/>
        <v>2.4999999999999892E-3</v>
      </c>
      <c r="G222" s="4">
        <f t="shared" si="40"/>
        <v>-3.1622205196071729E-2</v>
      </c>
      <c r="H222" s="4">
        <f t="shared" si="41"/>
        <v>6.0546876088319141</v>
      </c>
      <c r="I222" s="3">
        <f t="shared" si="42"/>
        <v>346.90804625622502</v>
      </c>
      <c r="J222" s="2">
        <f t="shared" si="43"/>
        <v>0.97418655498382301</v>
      </c>
      <c r="K222" s="2">
        <f t="shared" si="44"/>
        <v>-0.22574444863329576</v>
      </c>
      <c r="L222" s="4">
        <f t="shared" si="45"/>
        <v>1.1499292355840662E-2</v>
      </c>
      <c r="M222" s="4">
        <f t="shared" si="46"/>
        <v>-1.9512763746571912E-3</v>
      </c>
    </row>
    <row r="223" spans="1:13" x14ac:dyDescent="0.4">
      <c r="A223" s="1">
        <f t="shared" si="38"/>
        <v>11.050000000000022</v>
      </c>
      <c r="B223" s="1">
        <f t="shared" si="48"/>
        <v>2.2999999999998022E-4</v>
      </c>
      <c r="C223" s="1">
        <f t="shared" si="49"/>
        <v>4.7699999999999982E-3</v>
      </c>
      <c r="D223" s="1">
        <f t="shared" si="47"/>
        <v>0</v>
      </c>
      <c r="E223" s="1">
        <f t="shared" si="47"/>
        <v>0</v>
      </c>
      <c r="F223" s="1">
        <f t="shared" si="39"/>
        <v>2.4999999999999892E-3</v>
      </c>
      <c r="G223" s="4">
        <f t="shared" si="40"/>
        <v>-3.1622205196071729E-2</v>
      </c>
      <c r="H223" s="4">
        <f t="shared" si="41"/>
        <v>6.0531064985721104</v>
      </c>
      <c r="I223" s="3">
        <f t="shared" si="42"/>
        <v>346.81745531139342</v>
      </c>
      <c r="J223" s="2">
        <f t="shared" si="43"/>
        <v>0.97382841057977654</v>
      </c>
      <c r="K223" s="2">
        <f t="shared" si="44"/>
        <v>-0.22728446217827145</v>
      </c>
      <c r="L223" s="4">
        <f t="shared" si="45"/>
        <v>1.1621020907163134E-2</v>
      </c>
      <c r="M223" s="4">
        <f t="shared" si="46"/>
        <v>-1.9796869324294748E-3</v>
      </c>
    </row>
    <row r="224" spans="1:13" x14ac:dyDescent="0.4">
      <c r="A224" s="1">
        <f t="shared" si="38"/>
        <v>11.100000000000023</v>
      </c>
      <c r="B224" s="1">
        <f t="shared" si="48"/>
        <v>2.2999999999998022E-4</v>
      </c>
      <c r="C224" s="1">
        <f t="shared" si="49"/>
        <v>4.7699999999999982E-3</v>
      </c>
      <c r="D224" s="1">
        <f t="shared" si="47"/>
        <v>0</v>
      </c>
      <c r="E224" s="1">
        <f t="shared" si="47"/>
        <v>0</v>
      </c>
      <c r="F224" s="1">
        <f t="shared" si="39"/>
        <v>2.4999999999999892E-3</v>
      </c>
      <c r="G224" s="4">
        <f t="shared" si="40"/>
        <v>-3.1622205196071729E-2</v>
      </c>
      <c r="H224" s="4">
        <f t="shared" si="41"/>
        <v>6.0515253883123066</v>
      </c>
      <c r="I224" s="3">
        <f t="shared" si="42"/>
        <v>346.72686436656176</v>
      </c>
      <c r="J224" s="2">
        <f t="shared" si="43"/>
        <v>0.97346783169319229</v>
      </c>
      <c r="K224" s="2">
        <f t="shared" si="44"/>
        <v>-0.22882390753274609</v>
      </c>
      <c r="L224" s="4">
        <f t="shared" si="45"/>
        <v>1.1742704386124783E-2</v>
      </c>
      <c r="M224" s="4">
        <f t="shared" si="46"/>
        <v>-2.0082899208710681E-3</v>
      </c>
    </row>
    <row r="225" spans="1:13" x14ac:dyDescent="0.4">
      <c r="A225" s="1">
        <f t="shared" si="38"/>
        <v>11.150000000000023</v>
      </c>
      <c r="B225" s="1">
        <f t="shared" si="48"/>
        <v>2.2999999999998022E-4</v>
      </c>
      <c r="C225" s="1">
        <f t="shared" si="49"/>
        <v>4.7699999999999982E-3</v>
      </c>
      <c r="D225" s="1">
        <f t="shared" si="47"/>
        <v>0</v>
      </c>
      <c r="E225" s="1">
        <f t="shared" si="47"/>
        <v>0</v>
      </c>
      <c r="F225" s="1">
        <f t="shared" si="39"/>
        <v>2.4999999999999892E-3</v>
      </c>
      <c r="G225" s="4">
        <f t="shared" si="40"/>
        <v>-3.1622205196071729E-2</v>
      </c>
      <c r="H225" s="4">
        <f t="shared" si="41"/>
        <v>6.0499442780525028</v>
      </c>
      <c r="I225" s="3">
        <f t="shared" si="42"/>
        <v>346.63627342173021</v>
      </c>
      <c r="J225" s="2">
        <f t="shared" si="43"/>
        <v>0.97310481922548531</v>
      </c>
      <c r="K225" s="2">
        <f t="shared" si="44"/>
        <v>-0.23036278084824274</v>
      </c>
      <c r="L225" s="4">
        <f t="shared" si="45"/>
        <v>1.1864342488527968E-2</v>
      </c>
      <c r="M225" s="4">
        <f t="shared" si="46"/>
        <v>-2.0370852684770983E-3</v>
      </c>
    </row>
    <row r="226" spans="1:13" x14ac:dyDescent="0.4">
      <c r="A226" s="1">
        <f t="shared" si="38"/>
        <v>11.200000000000024</v>
      </c>
      <c r="B226" s="1">
        <f t="shared" si="48"/>
        <v>2.2999999999998022E-4</v>
      </c>
      <c r="C226" s="1">
        <f t="shared" si="49"/>
        <v>4.7699999999999982E-3</v>
      </c>
      <c r="D226" s="1">
        <f t="shared" si="47"/>
        <v>0</v>
      </c>
      <c r="E226" s="1">
        <f t="shared" si="47"/>
        <v>0</v>
      </c>
      <c r="F226" s="1">
        <f t="shared" si="39"/>
        <v>2.4999999999999892E-3</v>
      </c>
      <c r="G226" s="4">
        <f t="shared" si="40"/>
        <v>-3.1622205196071729E-2</v>
      </c>
      <c r="H226" s="4">
        <f t="shared" si="41"/>
        <v>6.048363167792699</v>
      </c>
      <c r="I226" s="3">
        <f t="shared" si="42"/>
        <v>346.54568247689861</v>
      </c>
      <c r="J226" s="2">
        <f t="shared" si="43"/>
        <v>0.97273937408415323</v>
      </c>
      <c r="K226" s="2">
        <f t="shared" si="44"/>
        <v>-0.23190107827772141</v>
      </c>
      <c r="L226" s="4">
        <f t="shared" si="45"/>
        <v>1.1985934910288487E-2</v>
      </c>
      <c r="M226" s="4">
        <f t="shared" si="46"/>
        <v>-2.0660729032618134E-3</v>
      </c>
    </row>
    <row r="227" spans="1:13" x14ac:dyDescent="0.4">
      <c r="A227" s="1">
        <f t="shared" si="38"/>
        <v>11.250000000000025</v>
      </c>
      <c r="B227" s="1">
        <f t="shared" si="48"/>
        <v>2.2999999999998022E-4</v>
      </c>
      <c r="C227" s="1">
        <f t="shared" si="49"/>
        <v>4.7699999999999982E-3</v>
      </c>
      <c r="D227" s="1">
        <f t="shared" si="47"/>
        <v>0</v>
      </c>
      <c r="E227" s="1">
        <f t="shared" si="47"/>
        <v>0</v>
      </c>
      <c r="F227" s="1">
        <f t="shared" si="39"/>
        <v>2.4999999999999892E-3</v>
      </c>
      <c r="G227" s="4">
        <f t="shared" si="40"/>
        <v>-3.1622205196071729E-2</v>
      </c>
      <c r="H227" s="4">
        <f t="shared" si="41"/>
        <v>6.0467820575328952</v>
      </c>
      <c r="I227" s="3">
        <f t="shared" si="42"/>
        <v>346.45509153206706</v>
      </c>
      <c r="J227" s="2">
        <f t="shared" si="43"/>
        <v>0.97237149718277627</v>
      </c>
      <c r="K227" s="2">
        <f t="shared" si="44"/>
        <v>-0.23343879597557488</v>
      </c>
      <c r="L227" s="4">
        <f t="shared" si="45"/>
        <v>1.2107481347436333E-2</v>
      </c>
      <c r="M227" s="4">
        <f t="shared" si="46"/>
        <v>-2.09525275275876E-3</v>
      </c>
    </row>
    <row r="228" spans="1:13" x14ac:dyDescent="0.4">
      <c r="A228" s="1">
        <f t="shared" si="38"/>
        <v>11.300000000000026</v>
      </c>
      <c r="B228" s="1">
        <f t="shared" si="48"/>
        <v>2.2999999999998022E-4</v>
      </c>
      <c r="C228" s="1">
        <f t="shared" si="49"/>
        <v>4.7699999999999982E-3</v>
      </c>
      <c r="D228" s="1">
        <f t="shared" si="47"/>
        <v>0</v>
      </c>
      <c r="E228" s="1">
        <f t="shared" si="47"/>
        <v>0</v>
      </c>
      <c r="F228" s="1">
        <f t="shared" si="39"/>
        <v>2.4999999999999892E-3</v>
      </c>
      <c r="G228" s="4">
        <f t="shared" si="40"/>
        <v>-3.1622205196071729E-2</v>
      </c>
      <c r="H228" s="4">
        <f t="shared" si="41"/>
        <v>6.0452009472730914</v>
      </c>
      <c r="I228" s="3">
        <f t="shared" si="42"/>
        <v>346.36450058723545</v>
      </c>
      <c r="J228" s="2">
        <f t="shared" si="43"/>
        <v>0.97200118944101266</v>
      </c>
      <c r="K228" s="2">
        <f t="shared" si="44"/>
        <v>-0.234975930097652</v>
      </c>
      <c r="L228" s="4">
        <f t="shared" si="45"/>
        <v>1.2228981496116459E-2</v>
      </c>
      <c r="M228" s="4">
        <f t="shared" si="46"/>
        <v>-2.1246247440209662E-3</v>
      </c>
    </row>
    <row r="229" spans="1:13" x14ac:dyDescent="0.4">
      <c r="A229" s="1">
        <f t="shared" si="38"/>
        <v>11.350000000000026</v>
      </c>
      <c r="B229" s="1">
        <f t="shared" si="48"/>
        <v>2.2999999999998022E-4</v>
      </c>
      <c r="C229" s="1">
        <f t="shared" si="49"/>
        <v>4.7699999999999982E-3</v>
      </c>
      <c r="D229" s="1">
        <f t="shared" si="47"/>
        <v>0</v>
      </c>
      <c r="E229" s="1">
        <f t="shared" si="47"/>
        <v>0</v>
      </c>
      <c r="F229" s="1">
        <f t="shared" si="39"/>
        <v>2.4999999999999892E-3</v>
      </c>
      <c r="G229" s="4">
        <f t="shared" si="40"/>
        <v>-3.1622205196071729E-2</v>
      </c>
      <c r="H229" s="4">
        <f t="shared" si="41"/>
        <v>6.0436198370132876</v>
      </c>
      <c r="I229" s="3">
        <f t="shared" si="42"/>
        <v>346.27390964240385</v>
      </c>
      <c r="J229" s="2">
        <f t="shared" si="43"/>
        <v>0.97162845178459878</v>
      </c>
      <c r="K229" s="2">
        <f t="shared" si="44"/>
        <v>-0.23651247680125376</v>
      </c>
      <c r="L229" s="4">
        <f t="shared" si="45"/>
        <v>1.2350435052589533E-2</v>
      </c>
      <c r="M229" s="4">
        <f t="shared" si="46"/>
        <v>-2.1541888036211228E-3</v>
      </c>
    </row>
    <row r="230" spans="1:13" x14ac:dyDescent="0.4">
      <c r="A230" s="1">
        <f t="shared" si="38"/>
        <v>11.400000000000027</v>
      </c>
      <c r="B230" s="1">
        <f t="shared" si="48"/>
        <v>2.2999999999998022E-4</v>
      </c>
      <c r="C230" s="1">
        <f t="shared" si="49"/>
        <v>4.7699999999999982E-3</v>
      </c>
      <c r="D230" s="1">
        <f t="shared" si="47"/>
        <v>0</v>
      </c>
      <c r="E230" s="1">
        <f t="shared" si="47"/>
        <v>0</v>
      </c>
      <c r="F230" s="1">
        <f t="shared" si="39"/>
        <v>2.4999999999999892E-3</v>
      </c>
      <c r="G230" s="4">
        <f t="shared" si="40"/>
        <v>-3.1622205196071729E-2</v>
      </c>
      <c r="H230" s="4">
        <f t="shared" si="41"/>
        <v>6.0420387267534839</v>
      </c>
      <c r="I230" s="3">
        <f t="shared" si="42"/>
        <v>346.1833186975723</v>
      </c>
      <c r="J230" s="2">
        <f t="shared" si="43"/>
        <v>0.97125328514534415</v>
      </c>
      <c r="K230" s="2">
        <f t="shared" si="44"/>
        <v>-0.23804843224515645</v>
      </c>
      <c r="L230" s="4">
        <f t="shared" si="45"/>
        <v>1.2471841713232701E-2</v>
      </c>
      <c r="M230" s="4">
        <f t="shared" si="46"/>
        <v>-2.183944857651767E-3</v>
      </c>
    </row>
    <row r="231" spans="1:13" x14ac:dyDescent="0.4">
      <c r="A231" s="1">
        <f t="shared" si="38"/>
        <v>11.450000000000028</v>
      </c>
      <c r="B231" s="1">
        <f t="shared" si="48"/>
        <v>2.2999999999998022E-4</v>
      </c>
      <c r="C231" s="1">
        <f t="shared" si="49"/>
        <v>4.7699999999999982E-3</v>
      </c>
      <c r="D231" s="1">
        <f t="shared" si="47"/>
        <v>0</v>
      </c>
      <c r="E231" s="1">
        <f t="shared" si="47"/>
        <v>0</v>
      </c>
      <c r="F231" s="1">
        <f t="shared" si="39"/>
        <v>2.4999999999999892E-3</v>
      </c>
      <c r="G231" s="4">
        <f t="shared" si="40"/>
        <v>-3.1622205196071729E-2</v>
      </c>
      <c r="H231" s="4">
        <f t="shared" si="41"/>
        <v>6.0404576164936801</v>
      </c>
      <c r="I231" s="3">
        <f t="shared" si="42"/>
        <v>346.09272775274064</v>
      </c>
      <c r="J231" s="2">
        <f t="shared" si="43"/>
        <v>0.97087569046113209</v>
      </c>
      <c r="K231" s="2">
        <f t="shared" si="44"/>
        <v>-0.2395837925896076</v>
      </c>
      <c r="L231" s="4">
        <f t="shared" si="45"/>
        <v>1.2593201174540342E-2</v>
      </c>
      <c r="M231" s="4">
        <f t="shared" si="46"/>
        <v>-2.2138928317254679E-3</v>
      </c>
    </row>
    <row r="232" spans="1:13" x14ac:dyDescent="0.4">
      <c r="A232" s="1">
        <f t="shared" si="38"/>
        <v>11.500000000000028</v>
      </c>
      <c r="B232" s="1">
        <f t="shared" si="48"/>
        <v>2.2999999999998022E-4</v>
      </c>
      <c r="C232" s="1">
        <f t="shared" si="49"/>
        <v>4.7699999999999982E-3</v>
      </c>
      <c r="D232" s="1">
        <f t="shared" si="47"/>
        <v>0</v>
      </c>
      <c r="E232" s="1">
        <f t="shared" si="47"/>
        <v>0</v>
      </c>
      <c r="F232" s="1">
        <f t="shared" si="39"/>
        <v>2.4999999999999892E-3</v>
      </c>
      <c r="G232" s="4">
        <f t="shared" si="40"/>
        <v>-3.1622205196071729E-2</v>
      </c>
      <c r="H232" s="4">
        <f t="shared" si="41"/>
        <v>6.0388765062338763</v>
      </c>
      <c r="I232" s="3">
        <f t="shared" si="42"/>
        <v>346.00213680790904</v>
      </c>
      <c r="J232" s="2">
        <f t="shared" si="43"/>
        <v>0.97049566867591408</v>
      </c>
      <c r="K232" s="2">
        <f t="shared" si="44"/>
        <v>-0.24111855399634929</v>
      </c>
      <c r="L232" s="4">
        <f t="shared" si="45"/>
        <v>1.2714513133124831E-2</v>
      </c>
      <c r="M232" s="4">
        <f t="shared" si="46"/>
        <v>-2.2440326509750113E-3</v>
      </c>
    </row>
    <row r="233" spans="1:13" x14ac:dyDescent="0.4">
      <c r="A233" s="1">
        <f t="shared" si="38"/>
        <v>11.550000000000029</v>
      </c>
      <c r="B233" s="1">
        <f t="shared" si="48"/>
        <v>2.2999999999998022E-4</v>
      </c>
      <c r="C233" s="1">
        <f t="shared" si="49"/>
        <v>4.7699999999999982E-3</v>
      </c>
      <c r="D233" s="1">
        <f t="shared" si="47"/>
        <v>0</v>
      </c>
      <c r="E233" s="1">
        <f t="shared" si="47"/>
        <v>0</v>
      </c>
      <c r="F233" s="1">
        <f t="shared" si="39"/>
        <v>2.4999999999999892E-3</v>
      </c>
      <c r="G233" s="4">
        <f t="shared" si="40"/>
        <v>-3.1622205196071729E-2</v>
      </c>
      <c r="H233" s="4">
        <f t="shared" si="41"/>
        <v>6.0372953959740725</v>
      </c>
      <c r="I233" s="3">
        <f t="shared" si="42"/>
        <v>345.91154586307749</v>
      </c>
      <c r="J233" s="2">
        <f t="shared" si="43"/>
        <v>0.97011322073971107</v>
      </c>
      <c r="K233" s="2">
        <f t="shared" si="44"/>
        <v>-0.24265271262861401</v>
      </c>
      <c r="L233" s="4">
        <f t="shared" si="45"/>
        <v>1.2835777285717295E-2</v>
      </c>
      <c r="M233" s="4">
        <f t="shared" si="46"/>
        <v>-2.2743642400535878E-3</v>
      </c>
    </row>
    <row r="234" spans="1:13" x14ac:dyDescent="0.4">
      <c r="A234" s="1">
        <f t="shared" si="38"/>
        <v>11.60000000000003</v>
      </c>
      <c r="B234" s="1">
        <f t="shared" si="48"/>
        <v>2.2999999999998022E-4</v>
      </c>
      <c r="C234" s="1">
        <f t="shared" si="49"/>
        <v>4.7699999999999982E-3</v>
      </c>
      <c r="D234" s="1">
        <f t="shared" si="47"/>
        <v>0</v>
      </c>
      <c r="E234" s="1">
        <f t="shared" si="47"/>
        <v>0</v>
      </c>
      <c r="F234" s="1">
        <f t="shared" si="39"/>
        <v>2.4999999999999892E-3</v>
      </c>
      <c r="G234" s="4">
        <f t="shared" si="40"/>
        <v>-3.1622205196071729E-2</v>
      </c>
      <c r="H234" s="4">
        <f t="shared" si="41"/>
        <v>6.0357142857142687</v>
      </c>
      <c r="I234" s="3">
        <f t="shared" si="42"/>
        <v>345.82095491824589</v>
      </c>
      <c r="J234" s="2">
        <f t="shared" si="43"/>
        <v>0.96972834760860704</v>
      </c>
      <c r="K234" s="2">
        <f t="shared" si="44"/>
        <v>-0.24418626465114804</v>
      </c>
      <c r="L234" s="4">
        <f t="shared" si="45"/>
        <v>1.295699332916837E-2</v>
      </c>
      <c r="M234" s="4">
        <f t="shared" si="46"/>
        <v>-2.3048875231349813E-3</v>
      </c>
    </row>
    <row r="235" spans="1:13" x14ac:dyDescent="0.4">
      <c r="A235" s="1">
        <f t="shared" si="38"/>
        <v>11.650000000000031</v>
      </c>
      <c r="B235" s="1">
        <f t="shared" si="48"/>
        <v>2.2999999999998022E-4</v>
      </c>
      <c r="C235" s="1">
        <f t="shared" si="49"/>
        <v>4.7699999999999982E-3</v>
      </c>
      <c r="D235" s="1">
        <f t="shared" si="47"/>
        <v>0</v>
      </c>
      <c r="E235" s="1">
        <f t="shared" si="47"/>
        <v>0</v>
      </c>
      <c r="F235" s="1">
        <f t="shared" si="39"/>
        <v>2.4999999999999892E-3</v>
      </c>
      <c r="G235" s="4">
        <f t="shared" si="40"/>
        <v>-3.1622205196071729E-2</v>
      </c>
      <c r="H235" s="4">
        <f t="shared" si="41"/>
        <v>6.0341331754544649</v>
      </c>
      <c r="I235" s="3">
        <f t="shared" si="42"/>
        <v>345.73036397341434</v>
      </c>
      <c r="J235" s="2">
        <f t="shared" si="43"/>
        <v>0.96934105024475103</v>
      </c>
      <c r="K235" s="2">
        <f t="shared" si="44"/>
        <v>-0.24571920623020721</v>
      </c>
      <c r="L235" s="4">
        <f t="shared" si="45"/>
        <v>1.3078160960448964E-2</v>
      </c>
      <c r="M235" s="4">
        <f t="shared" si="46"/>
        <v>-2.335602423913757E-3</v>
      </c>
    </row>
    <row r="236" spans="1:13" x14ac:dyDescent="0.4">
      <c r="A236" s="1">
        <f t="shared" si="38"/>
        <v>11.700000000000031</v>
      </c>
      <c r="B236" s="1">
        <f t="shared" si="48"/>
        <v>2.2999999999998022E-4</v>
      </c>
      <c r="C236" s="1">
        <f t="shared" si="49"/>
        <v>4.7699999999999982E-3</v>
      </c>
      <c r="D236" s="1">
        <f t="shared" si="47"/>
        <v>0</v>
      </c>
      <c r="E236" s="1">
        <f t="shared" si="47"/>
        <v>0</v>
      </c>
      <c r="F236" s="1">
        <f t="shared" si="39"/>
        <v>2.4999999999999892E-3</v>
      </c>
      <c r="G236" s="4">
        <f t="shared" si="40"/>
        <v>-3.1622205196071729E-2</v>
      </c>
      <c r="H236" s="4">
        <f t="shared" si="41"/>
        <v>6.0325520651946611</v>
      </c>
      <c r="I236" s="3">
        <f t="shared" si="42"/>
        <v>345.63977302858274</v>
      </c>
      <c r="J236" s="2">
        <f t="shared" si="43"/>
        <v>0.96895132961635011</v>
      </c>
      <c r="K236" s="2">
        <f t="shared" si="44"/>
        <v>-0.24725153353358037</v>
      </c>
      <c r="L236" s="4">
        <f t="shared" si="45"/>
        <v>1.3199279876651007E-2</v>
      </c>
      <c r="M236" s="4">
        <f t="shared" si="46"/>
        <v>-2.3665088656054543E-3</v>
      </c>
    </row>
    <row r="237" spans="1:13" x14ac:dyDescent="0.4">
      <c r="A237" s="1">
        <f t="shared" si="38"/>
        <v>11.750000000000032</v>
      </c>
      <c r="B237" s="1">
        <f t="shared" si="48"/>
        <v>2.2999999999998022E-4</v>
      </c>
      <c r="C237" s="1">
        <f t="shared" si="49"/>
        <v>4.7699999999999982E-3</v>
      </c>
      <c r="D237" s="1">
        <f t="shared" si="47"/>
        <v>0</v>
      </c>
      <c r="E237" s="1">
        <f t="shared" si="47"/>
        <v>0</v>
      </c>
      <c r="F237" s="1">
        <f t="shared" si="39"/>
        <v>2.4999999999999892E-3</v>
      </c>
      <c r="G237" s="4">
        <f t="shared" si="40"/>
        <v>-3.1622205196071729E-2</v>
      </c>
      <c r="H237" s="4">
        <f t="shared" si="41"/>
        <v>6.0309709549348574</v>
      </c>
      <c r="I237" s="3">
        <f t="shared" si="42"/>
        <v>345.54918208375119</v>
      </c>
      <c r="J237" s="2">
        <f t="shared" si="43"/>
        <v>0.96855918669767149</v>
      </c>
      <c r="K237" s="2">
        <f t="shared" si="44"/>
        <v>-0.24878324273058497</v>
      </c>
      <c r="L237" s="4">
        <f t="shared" si="45"/>
        <v>1.3320349774988215E-2</v>
      </c>
      <c r="M237" s="4">
        <f t="shared" si="46"/>
        <v>-2.3976067709467774E-3</v>
      </c>
    </row>
    <row r="238" spans="1:13" x14ac:dyDescent="0.4">
      <c r="A238" s="1">
        <f t="shared" si="38"/>
        <v>11.800000000000033</v>
      </c>
      <c r="B238" s="1">
        <f t="shared" si="48"/>
        <v>2.2999999999998022E-4</v>
      </c>
      <c r="C238" s="1">
        <f t="shared" si="49"/>
        <v>4.7699999999999982E-3</v>
      </c>
      <c r="D238" s="1">
        <f t="shared" si="47"/>
        <v>0</v>
      </c>
      <c r="E238" s="1">
        <f t="shared" si="47"/>
        <v>0</v>
      </c>
      <c r="F238" s="1">
        <f t="shared" si="39"/>
        <v>2.4999999999999892E-3</v>
      </c>
      <c r="G238" s="4">
        <f t="shared" si="40"/>
        <v>-3.1622205196071729E-2</v>
      </c>
      <c r="H238" s="4">
        <f t="shared" si="41"/>
        <v>6.0293898446750536</v>
      </c>
      <c r="I238" s="3">
        <f t="shared" si="42"/>
        <v>345.45859113891953</v>
      </c>
      <c r="J238" s="2">
        <f t="shared" si="43"/>
        <v>0.9681646224690359</v>
      </c>
      <c r="K238" s="2">
        <f t="shared" si="44"/>
        <v>-0.25031432999209069</v>
      </c>
      <c r="L238" s="4">
        <f t="shared" si="45"/>
        <v>1.3441370352796843E-2</v>
      </c>
      <c r="M238" s="4">
        <f t="shared" si="46"/>
        <v>-2.4288960621957887E-3</v>
      </c>
    </row>
    <row r="239" spans="1:13" x14ac:dyDescent="0.4">
      <c r="A239" s="1">
        <f t="shared" si="38"/>
        <v>11.850000000000033</v>
      </c>
      <c r="B239" s="1">
        <f t="shared" si="48"/>
        <v>2.2999999999998022E-4</v>
      </c>
      <c r="C239" s="1">
        <f t="shared" si="49"/>
        <v>4.7699999999999982E-3</v>
      </c>
      <c r="D239" s="1">
        <f t="shared" si="47"/>
        <v>0</v>
      </c>
      <c r="E239" s="1">
        <f t="shared" si="47"/>
        <v>0</v>
      </c>
      <c r="F239" s="1">
        <f t="shared" si="39"/>
        <v>2.4999999999999892E-3</v>
      </c>
      <c r="G239" s="4">
        <f t="shared" si="40"/>
        <v>-3.1622205196071729E-2</v>
      </c>
      <c r="H239" s="4">
        <f t="shared" si="41"/>
        <v>6.0278087344152498</v>
      </c>
      <c r="I239" s="3">
        <f t="shared" si="42"/>
        <v>345.36800019408793</v>
      </c>
      <c r="J239" s="2">
        <f t="shared" si="43"/>
        <v>0.96776763791681886</v>
      </c>
      <c r="K239" s="2">
        <f t="shared" si="44"/>
        <v>-0.25184479149051509</v>
      </c>
      <c r="L239" s="4">
        <f t="shared" si="45"/>
        <v>1.3562341307536445E-2</v>
      </c>
      <c r="M239" s="4">
        <f t="shared" si="46"/>
        <v>-2.4603766611321029E-3</v>
      </c>
    </row>
    <row r="240" spans="1:13" x14ac:dyDescent="0.4">
      <c r="A240" s="1">
        <f t="shared" si="38"/>
        <v>11.900000000000034</v>
      </c>
      <c r="B240" s="1">
        <f t="shared" si="48"/>
        <v>2.2999999999998022E-4</v>
      </c>
      <c r="C240" s="1">
        <f t="shared" si="49"/>
        <v>4.7699999999999982E-3</v>
      </c>
      <c r="D240" s="1">
        <f t="shared" si="47"/>
        <v>0</v>
      </c>
      <c r="E240" s="1">
        <f t="shared" si="47"/>
        <v>0</v>
      </c>
      <c r="F240" s="1">
        <f t="shared" si="39"/>
        <v>2.4999999999999892E-3</v>
      </c>
      <c r="G240" s="4">
        <f t="shared" si="40"/>
        <v>-3.1622205196071729E-2</v>
      </c>
      <c r="H240" s="4">
        <f t="shared" si="41"/>
        <v>6.026227624155446</v>
      </c>
      <c r="I240" s="3">
        <f t="shared" si="42"/>
        <v>345.27740924925638</v>
      </c>
      <c r="J240" s="2">
        <f t="shared" si="43"/>
        <v>0.96736823403344485</v>
      </c>
      <c r="K240" s="2">
        <f t="shared" si="44"/>
        <v>-0.2533746233998469</v>
      </c>
      <c r="L240" s="4">
        <f t="shared" si="45"/>
        <v>1.3683262336790625E-2</v>
      </c>
      <c r="M240" s="4">
        <f t="shared" si="46"/>
        <v>-2.4920484890570836E-3</v>
      </c>
    </row>
    <row r="241" spans="1:13" x14ac:dyDescent="0.4">
      <c r="A241" s="1">
        <f t="shared" si="38"/>
        <v>11.950000000000035</v>
      </c>
      <c r="B241" s="1">
        <f t="shared" si="48"/>
        <v>2.2999999999998022E-4</v>
      </c>
      <c r="C241" s="1">
        <f t="shared" si="49"/>
        <v>4.7699999999999982E-3</v>
      </c>
      <c r="D241" s="1">
        <f t="shared" si="47"/>
        <v>0</v>
      </c>
      <c r="E241" s="1">
        <f t="shared" si="47"/>
        <v>0</v>
      </c>
      <c r="F241" s="1">
        <f t="shared" si="39"/>
        <v>2.4999999999999892E-3</v>
      </c>
      <c r="G241" s="4">
        <f t="shared" si="40"/>
        <v>-3.1622205196071729E-2</v>
      </c>
      <c r="H241" s="4">
        <f t="shared" si="41"/>
        <v>6.0246465138956422</v>
      </c>
      <c r="I241" s="3">
        <f t="shared" si="42"/>
        <v>345.18681830442478</v>
      </c>
      <c r="J241" s="2">
        <f t="shared" si="43"/>
        <v>0.96696641181738829</v>
      </c>
      <c r="K241" s="2">
        <f t="shared" si="44"/>
        <v>-0.25490382189564187</v>
      </c>
      <c r="L241" s="4">
        <f t="shared" si="45"/>
        <v>1.3804133138267798E-2</v>
      </c>
      <c r="M241" s="4">
        <f t="shared" si="46"/>
        <v>-2.5239114667940385E-3</v>
      </c>
    </row>
    <row r="242" spans="1:13" x14ac:dyDescent="0.4">
      <c r="A242" s="1">
        <f t="shared" si="38"/>
        <v>12.000000000000036</v>
      </c>
      <c r="B242" s="1">
        <f t="shared" si="48"/>
        <v>2.2999999999998022E-4</v>
      </c>
      <c r="C242" s="1">
        <f t="shared" si="49"/>
        <v>4.7699999999999982E-3</v>
      </c>
      <c r="D242" s="1">
        <f t="shared" si="47"/>
        <v>0</v>
      </c>
      <c r="E242" s="1">
        <f t="shared" si="47"/>
        <v>0</v>
      </c>
      <c r="F242" s="1">
        <f t="shared" si="39"/>
        <v>2.4999999999999892E-3</v>
      </c>
      <c r="G242" s="4">
        <f t="shared" si="40"/>
        <v>-3.1622205196071729E-2</v>
      </c>
      <c r="H242" s="4">
        <f t="shared" si="41"/>
        <v>6.0230654036358384</v>
      </c>
      <c r="I242" s="3">
        <f t="shared" si="42"/>
        <v>345.09622735959317</v>
      </c>
      <c r="J242" s="2">
        <f t="shared" si="43"/>
        <v>0.9665621722731671</v>
      </c>
      <c r="K242" s="2">
        <f t="shared" si="44"/>
        <v>-0.25643238315504624</v>
      </c>
      <c r="L242" s="4">
        <f t="shared" si="45"/>
        <v>1.3924953409801943E-2</v>
      </c>
      <c r="M242" s="4">
        <f t="shared" si="46"/>
        <v>-2.5559655146884194E-3</v>
      </c>
    </row>
    <row r="243" spans="1:13" x14ac:dyDescent="0.4">
      <c r="A243" s="1">
        <f t="shared" si="38"/>
        <v>12.050000000000036</v>
      </c>
      <c r="B243" s="1">
        <f t="shared" si="48"/>
        <v>2.2999999999998022E-4</v>
      </c>
      <c r="C243" s="1">
        <f t="shared" si="49"/>
        <v>4.7699999999999982E-3</v>
      </c>
      <c r="D243" s="1">
        <f t="shared" si="47"/>
        <v>0</v>
      </c>
      <c r="E243" s="1">
        <f t="shared" si="47"/>
        <v>0</v>
      </c>
      <c r="F243" s="1">
        <f t="shared" si="39"/>
        <v>2.4999999999999892E-3</v>
      </c>
      <c r="G243" s="4">
        <f t="shared" si="40"/>
        <v>-3.1622205196071729E-2</v>
      </c>
      <c r="H243" s="4">
        <f t="shared" si="41"/>
        <v>6.0214842933760346</v>
      </c>
      <c r="I243" s="3">
        <f t="shared" si="42"/>
        <v>345.00563641476163</v>
      </c>
      <c r="J243" s="2">
        <f t="shared" si="43"/>
        <v>0.96615551641134445</v>
      </c>
      <c r="K243" s="2">
        <f t="shared" si="44"/>
        <v>-0.25796030335679226</v>
      </c>
      <c r="L243" s="4">
        <f t="shared" si="45"/>
        <v>1.404572284935336E-2</v>
      </c>
      <c r="M243" s="4">
        <f t="shared" si="46"/>
        <v>-2.5882105526080184E-3</v>
      </c>
    </row>
    <row r="244" spans="1:13" x14ac:dyDescent="0.4">
      <c r="A244" s="1">
        <f t="shared" si="38"/>
        <v>12.100000000000037</v>
      </c>
      <c r="B244" s="1">
        <f t="shared" si="48"/>
        <v>2.2999999999998022E-4</v>
      </c>
      <c r="C244" s="1">
        <f t="shared" si="49"/>
        <v>4.7699999999999982E-3</v>
      </c>
      <c r="D244" s="1">
        <f t="shared" si="47"/>
        <v>0</v>
      </c>
      <c r="E244" s="1">
        <f t="shared" si="47"/>
        <v>0</v>
      </c>
      <c r="F244" s="1">
        <f t="shared" si="39"/>
        <v>2.4999999999999892E-3</v>
      </c>
      <c r="G244" s="4">
        <f t="shared" si="40"/>
        <v>-3.1622205196071729E-2</v>
      </c>
      <c r="H244" s="4">
        <f t="shared" si="41"/>
        <v>6.0199031831162308</v>
      </c>
      <c r="I244" s="3">
        <f t="shared" si="42"/>
        <v>344.91504546993002</v>
      </c>
      <c r="J244" s="2">
        <f t="shared" si="43"/>
        <v>0.96574644524852216</v>
      </c>
      <c r="K244" s="2">
        <f t="shared" si="44"/>
        <v>-0.25948757868122174</v>
      </c>
      <c r="L244" s="4">
        <f t="shared" si="45"/>
        <v>1.4166441155009426E-2</v>
      </c>
      <c r="M244" s="4">
        <f t="shared" si="46"/>
        <v>-2.620646499943171E-3</v>
      </c>
    </row>
    <row r="245" spans="1:13" x14ac:dyDescent="0.4">
      <c r="A245" s="1">
        <f t="shared" si="38"/>
        <v>12.150000000000038</v>
      </c>
      <c r="B245" s="1">
        <f t="shared" si="48"/>
        <v>2.2999999999998022E-4</v>
      </c>
      <c r="C245" s="1">
        <f t="shared" si="49"/>
        <v>4.7699999999999982E-3</v>
      </c>
      <c r="D245" s="1">
        <f t="shared" si="47"/>
        <v>0</v>
      </c>
      <c r="E245" s="1">
        <f t="shared" si="47"/>
        <v>0</v>
      </c>
      <c r="F245" s="1">
        <f t="shared" si="39"/>
        <v>2.4999999999999892E-3</v>
      </c>
      <c r="G245" s="4">
        <f t="shared" si="40"/>
        <v>-3.1622205196071729E-2</v>
      </c>
      <c r="H245" s="4">
        <f t="shared" si="41"/>
        <v>6.0183220728564271</v>
      </c>
      <c r="I245" s="3">
        <f t="shared" si="42"/>
        <v>344.82445452509836</v>
      </c>
      <c r="J245" s="2">
        <f t="shared" si="43"/>
        <v>0.96533495980734174</v>
      </c>
      <c r="K245" s="2">
        <f t="shared" si="44"/>
        <v>-0.26101420531028169</v>
      </c>
      <c r="L245" s="4">
        <f t="shared" si="45"/>
        <v>1.4287108024985343E-2</v>
      </c>
      <c r="M245" s="4">
        <f t="shared" si="46"/>
        <v>-2.6532732756069559E-3</v>
      </c>
    </row>
    <row r="246" spans="1:13" x14ac:dyDescent="0.4">
      <c r="A246" s="1">
        <f t="shared" si="38"/>
        <v>12.200000000000038</v>
      </c>
      <c r="B246" s="1">
        <f t="shared" si="48"/>
        <v>2.2999999999998022E-4</v>
      </c>
      <c r="C246" s="1">
        <f t="shared" si="49"/>
        <v>4.7699999999999982E-3</v>
      </c>
      <c r="D246" s="1">
        <f t="shared" si="47"/>
        <v>0</v>
      </c>
      <c r="E246" s="1">
        <f t="shared" si="47"/>
        <v>0</v>
      </c>
      <c r="F246" s="1">
        <f t="shared" si="39"/>
        <v>2.4999999999999892E-3</v>
      </c>
      <c r="G246" s="4">
        <f t="shared" si="40"/>
        <v>-3.1622205196071729E-2</v>
      </c>
      <c r="H246" s="4">
        <f t="shared" si="41"/>
        <v>6.0167409625966233</v>
      </c>
      <c r="I246" s="3">
        <f t="shared" si="42"/>
        <v>344.73386358026681</v>
      </c>
      <c r="J246" s="2">
        <f t="shared" si="43"/>
        <v>0.96492106111647857</v>
      </c>
      <c r="K246" s="2">
        <f t="shared" si="44"/>
        <v>-0.2625401794275477</v>
      </c>
      <c r="L246" s="4">
        <f t="shared" si="45"/>
        <v>1.4407723157624903E-2</v>
      </c>
      <c r="M246" s="4">
        <f t="shared" si="46"/>
        <v>-2.6860907980353994E-3</v>
      </c>
    </row>
    <row r="247" spans="1:13" x14ac:dyDescent="0.4">
      <c r="A247" s="1">
        <f t="shared" si="38"/>
        <v>12.250000000000039</v>
      </c>
      <c r="B247" s="1">
        <f t="shared" si="48"/>
        <v>2.2999999999998022E-4</v>
      </c>
      <c r="C247" s="1">
        <f t="shared" si="49"/>
        <v>4.7699999999999982E-3</v>
      </c>
      <c r="D247" s="1">
        <f t="shared" si="47"/>
        <v>0</v>
      </c>
      <c r="E247" s="1">
        <f t="shared" si="47"/>
        <v>0</v>
      </c>
      <c r="F247" s="1">
        <f t="shared" si="39"/>
        <v>2.4999999999999892E-3</v>
      </c>
      <c r="G247" s="4">
        <f t="shared" si="40"/>
        <v>-3.1622205196071729E-2</v>
      </c>
      <c r="H247" s="4">
        <f t="shared" si="41"/>
        <v>6.0151598523368195</v>
      </c>
      <c r="I247" s="3">
        <f t="shared" si="42"/>
        <v>344.64327263543521</v>
      </c>
      <c r="J247" s="2">
        <f t="shared" si="43"/>
        <v>0.96450475021064275</v>
      </c>
      <c r="K247" s="2">
        <f t="shared" si="44"/>
        <v>-0.26406549721821965</v>
      </c>
      <c r="L247" s="4">
        <f t="shared" si="45"/>
        <v>1.4528286251401233E-2</v>
      </c>
      <c r="M247" s="4">
        <f t="shared" si="46"/>
        <v>-2.7190989851876768E-3</v>
      </c>
    </row>
    <row r="248" spans="1:13" x14ac:dyDescent="0.4">
      <c r="A248" s="1">
        <f t="shared" si="38"/>
        <v>12.30000000000004</v>
      </c>
      <c r="B248" s="1">
        <f t="shared" si="48"/>
        <v>2.2999999999998022E-4</v>
      </c>
      <c r="C248" s="1">
        <f t="shared" si="49"/>
        <v>4.7699999999999982E-3</v>
      </c>
      <c r="D248" s="1">
        <f t="shared" si="47"/>
        <v>0</v>
      </c>
      <c r="E248" s="1">
        <f t="shared" si="47"/>
        <v>0</v>
      </c>
      <c r="F248" s="1">
        <f t="shared" si="39"/>
        <v>2.4999999999999892E-3</v>
      </c>
      <c r="G248" s="4">
        <f t="shared" si="40"/>
        <v>-3.1622205196071729E-2</v>
      </c>
      <c r="H248" s="4">
        <f t="shared" si="41"/>
        <v>6.0135787420770157</v>
      </c>
      <c r="I248" s="3">
        <f t="shared" si="42"/>
        <v>344.55268169060366</v>
      </c>
      <c r="J248" s="2">
        <f t="shared" si="43"/>
        <v>0.96408602813057276</v>
      </c>
      <c r="K248" s="2">
        <f t="shared" si="44"/>
        <v>-0.26559015486914522</v>
      </c>
      <c r="L248" s="4">
        <f t="shared" si="45"/>
        <v>1.4648797004917554E-2</v>
      </c>
      <c r="M248" s="4">
        <f t="shared" si="46"/>
        <v>-2.7522977545463199E-3</v>
      </c>
    </row>
    <row r="249" spans="1:13" x14ac:dyDescent="0.4">
      <c r="A249" s="1">
        <f t="shared" si="38"/>
        <v>12.350000000000041</v>
      </c>
      <c r="B249" s="1">
        <f t="shared" si="48"/>
        <v>2.2999999999998022E-4</v>
      </c>
      <c r="C249" s="1">
        <f t="shared" si="49"/>
        <v>4.7699999999999982E-3</v>
      </c>
      <c r="D249" s="1">
        <f t="shared" si="47"/>
        <v>0</v>
      </c>
      <c r="E249" s="1">
        <f t="shared" si="47"/>
        <v>0</v>
      </c>
      <c r="F249" s="1">
        <f t="shared" si="39"/>
        <v>2.4999999999999892E-3</v>
      </c>
      <c r="G249" s="4">
        <f t="shared" si="40"/>
        <v>-3.1622205196071729E-2</v>
      </c>
      <c r="H249" s="4">
        <f t="shared" si="41"/>
        <v>6.0119976318172119</v>
      </c>
      <c r="I249" s="3">
        <f t="shared" si="42"/>
        <v>344.46209074577206</v>
      </c>
      <c r="J249" s="2">
        <f t="shared" si="43"/>
        <v>0.96366489592303661</v>
      </c>
      <c r="K249" s="2">
        <f t="shared" si="44"/>
        <v>-0.26711414856881527</v>
      </c>
      <c r="L249" s="4">
        <f t="shared" si="45"/>
        <v>1.4769255116907933E-2</v>
      </c>
      <c r="M249" s="4">
        <f t="shared" si="46"/>
        <v>-2.7856870231174214E-3</v>
      </c>
    </row>
    <row r="250" spans="1:13" x14ac:dyDescent="0.4">
      <c r="A250" s="1">
        <f t="shared" si="38"/>
        <v>12.400000000000041</v>
      </c>
      <c r="B250" s="1">
        <f t="shared" si="48"/>
        <v>2.2999999999998022E-4</v>
      </c>
      <c r="C250" s="1">
        <f t="shared" si="49"/>
        <v>4.7699999999999982E-3</v>
      </c>
      <c r="D250" s="1">
        <f t="shared" si="47"/>
        <v>0</v>
      </c>
      <c r="E250" s="1">
        <f t="shared" si="47"/>
        <v>0</v>
      </c>
      <c r="F250" s="1">
        <f t="shared" si="39"/>
        <v>2.4999999999999892E-3</v>
      </c>
      <c r="G250" s="4">
        <f t="shared" si="40"/>
        <v>-3.1622205196071729E-2</v>
      </c>
      <c r="H250" s="4">
        <f t="shared" si="41"/>
        <v>6.0104165215574081</v>
      </c>
      <c r="I250" s="3">
        <f t="shared" si="42"/>
        <v>344.37149980094051</v>
      </c>
      <c r="J250" s="2">
        <f t="shared" si="43"/>
        <v>0.96324135464082561</v>
      </c>
      <c r="K250" s="2">
        <f t="shared" si="44"/>
        <v>-0.26863747450738751</v>
      </c>
      <c r="L250" s="4">
        <f t="shared" si="45"/>
        <v>1.4889660286238036E-2</v>
      </c>
      <c r="M250" s="4">
        <f t="shared" si="46"/>
        <v>-2.8192667074308448E-3</v>
      </c>
    </row>
    <row r="251" spans="1:13" x14ac:dyDescent="0.4">
      <c r="A251" s="1">
        <f t="shared" si="38"/>
        <v>12.450000000000042</v>
      </c>
      <c r="B251" s="1">
        <f t="shared" si="48"/>
        <v>2.2999999999998022E-4</v>
      </c>
      <c r="C251" s="1">
        <f t="shared" si="49"/>
        <v>4.7699999999999982E-3</v>
      </c>
      <c r="D251" s="1">
        <f t="shared" si="47"/>
        <v>0</v>
      </c>
      <c r="E251" s="1">
        <f t="shared" si="47"/>
        <v>0</v>
      </c>
      <c r="F251" s="1">
        <f t="shared" si="39"/>
        <v>2.4999999999999892E-3</v>
      </c>
      <c r="G251" s="4">
        <f t="shared" si="40"/>
        <v>-3.1622205196071729E-2</v>
      </c>
      <c r="H251" s="4">
        <f t="shared" si="41"/>
        <v>6.0088354112976043</v>
      </c>
      <c r="I251" s="3">
        <f t="shared" si="42"/>
        <v>344.28090885610891</v>
      </c>
      <c r="J251" s="2">
        <f t="shared" si="43"/>
        <v>0.96281540534275545</v>
      </c>
      <c r="K251" s="2">
        <f t="shared" si="44"/>
        <v>-0.27016012887668212</v>
      </c>
      <c r="L251" s="4">
        <f t="shared" si="45"/>
        <v>1.501001221190588E-2</v>
      </c>
      <c r="M251" s="4">
        <f t="shared" si="46"/>
        <v>-2.85303672354043E-3</v>
      </c>
    </row>
    <row r="252" spans="1:13" x14ac:dyDescent="0.4">
      <c r="A252" s="1">
        <f t="shared" si="38"/>
        <v>12.500000000000043</v>
      </c>
      <c r="B252" s="1">
        <f t="shared" si="48"/>
        <v>2.2999999999998022E-4</v>
      </c>
      <c r="C252" s="1">
        <f t="shared" si="49"/>
        <v>4.7699999999999982E-3</v>
      </c>
      <c r="D252" s="1">
        <f t="shared" si="47"/>
        <v>0</v>
      </c>
      <c r="E252" s="1">
        <f t="shared" si="47"/>
        <v>0</v>
      </c>
      <c r="F252" s="1">
        <f t="shared" si="39"/>
        <v>2.4999999999999892E-3</v>
      </c>
      <c r="G252" s="4">
        <f t="shared" si="40"/>
        <v>-3.1622205196071729E-2</v>
      </c>
      <c r="H252" s="4">
        <f t="shared" si="41"/>
        <v>6.0072543010378006</v>
      </c>
      <c r="I252" s="3">
        <f t="shared" si="42"/>
        <v>344.19031791127725</v>
      </c>
      <c r="J252" s="2">
        <f t="shared" si="43"/>
        <v>0.9623870490936598</v>
      </c>
      <c r="K252" s="2">
        <f t="shared" si="44"/>
        <v>-0.27168210787020491</v>
      </c>
      <c r="L252" s="4">
        <f t="shared" si="45"/>
        <v>1.5130310593042587E-2</v>
      </c>
      <c r="M252" s="4">
        <f t="shared" si="46"/>
        <v>-2.8869969870242056E-3</v>
      </c>
    </row>
    <row r="253" spans="1:13" x14ac:dyDescent="0.4">
      <c r="A253" s="1">
        <f t="shared" si="38"/>
        <v>12.550000000000043</v>
      </c>
      <c r="B253" s="1">
        <f t="shared" si="48"/>
        <v>2.2999999999998022E-4</v>
      </c>
      <c r="C253" s="1">
        <f t="shared" si="49"/>
        <v>4.7699999999999982E-3</v>
      </c>
      <c r="D253" s="1">
        <f t="shared" si="47"/>
        <v>0</v>
      </c>
      <c r="E253" s="1">
        <f t="shared" si="47"/>
        <v>0</v>
      </c>
      <c r="F253" s="1">
        <f t="shared" si="39"/>
        <v>2.4999999999999892E-3</v>
      </c>
      <c r="G253" s="4">
        <f t="shared" si="40"/>
        <v>-3.1622205196071729E-2</v>
      </c>
      <c r="H253" s="4">
        <f t="shared" si="41"/>
        <v>6.0056731907779968</v>
      </c>
      <c r="I253" s="3">
        <f t="shared" si="42"/>
        <v>344.09972696644564</v>
      </c>
      <c r="J253" s="2">
        <f t="shared" si="43"/>
        <v>0.96195628696439117</v>
      </c>
      <c r="K253" s="2">
        <f t="shared" si="44"/>
        <v>-0.27320340768314327</v>
      </c>
      <c r="L253" s="4">
        <f t="shared" si="45"/>
        <v>1.5250555128913134E-2</v>
      </c>
      <c r="M253" s="4">
        <f t="shared" si="46"/>
        <v>-2.9211474129845986E-3</v>
      </c>
    </row>
    <row r="254" spans="1:13" x14ac:dyDescent="0.4">
      <c r="A254" s="1">
        <f t="shared" si="38"/>
        <v>12.600000000000044</v>
      </c>
      <c r="B254" s="1">
        <f t="shared" si="48"/>
        <v>2.2999999999998022E-4</v>
      </c>
      <c r="C254" s="1">
        <f t="shared" si="49"/>
        <v>4.7699999999999982E-3</v>
      </c>
      <c r="D254" s="1">
        <f t="shared" si="47"/>
        <v>0</v>
      </c>
      <c r="E254" s="1">
        <f t="shared" si="47"/>
        <v>0</v>
      </c>
      <c r="F254" s="1">
        <f t="shared" si="39"/>
        <v>2.4999999999999892E-3</v>
      </c>
      <c r="G254" s="4">
        <f t="shared" si="40"/>
        <v>-3.1622205196071729E-2</v>
      </c>
      <c r="H254" s="4">
        <f t="shared" si="41"/>
        <v>6.004092080518193</v>
      </c>
      <c r="I254" s="3">
        <f t="shared" si="42"/>
        <v>344.0091360216141</v>
      </c>
      <c r="J254" s="2">
        <f t="shared" si="43"/>
        <v>0.96152312003181495</v>
      </c>
      <c r="K254" s="2">
        <f t="shared" si="44"/>
        <v>-0.27472402451238936</v>
      </c>
      <c r="L254" s="4">
        <f t="shared" si="45"/>
        <v>1.5370745518917111E-2</v>
      </c>
      <c r="M254" s="4">
        <f t="shared" si="46"/>
        <v>-2.9554879160486472E-3</v>
      </c>
    </row>
    <row r="255" spans="1:13" x14ac:dyDescent="0.4">
      <c r="A255" s="1">
        <f t="shared" si="38"/>
        <v>12.650000000000045</v>
      </c>
      <c r="B255" s="1">
        <f t="shared" si="48"/>
        <v>2.2999999999998022E-4</v>
      </c>
      <c r="C255" s="1">
        <f t="shared" si="49"/>
        <v>4.7699999999999982E-3</v>
      </c>
      <c r="D255" s="1">
        <f t="shared" si="47"/>
        <v>0</v>
      </c>
      <c r="E255" s="1">
        <f t="shared" si="47"/>
        <v>0</v>
      </c>
      <c r="F255" s="1">
        <f t="shared" si="39"/>
        <v>2.4999999999999892E-3</v>
      </c>
      <c r="G255" s="4">
        <f t="shared" si="40"/>
        <v>-3.1622205196071729E-2</v>
      </c>
      <c r="H255" s="4">
        <f t="shared" si="41"/>
        <v>6.0025109702583892</v>
      </c>
      <c r="I255" s="3">
        <f t="shared" si="42"/>
        <v>343.91854507678249</v>
      </c>
      <c r="J255" s="2">
        <f t="shared" si="43"/>
        <v>0.96108754937881002</v>
      </c>
      <c r="K255" s="2">
        <f t="shared" si="44"/>
        <v>-0.27624395455653589</v>
      </c>
      <c r="L255" s="4">
        <f t="shared" si="45"/>
        <v>1.5490881462589461E-2</v>
      </c>
      <c r="M255" s="4">
        <f t="shared" si="46"/>
        <v>-2.9900184103682139E-3</v>
      </c>
    </row>
    <row r="256" spans="1:13" x14ac:dyDescent="0.4">
      <c r="A256" s="1">
        <f t="shared" si="38"/>
        <v>12.700000000000045</v>
      </c>
      <c r="B256" s="1">
        <f t="shared" si="48"/>
        <v>2.2999999999998022E-4</v>
      </c>
      <c r="C256" s="1">
        <f t="shared" si="49"/>
        <v>4.7699999999999982E-3</v>
      </c>
      <c r="D256" s="1">
        <f t="shared" si="47"/>
        <v>0</v>
      </c>
      <c r="E256" s="1">
        <f t="shared" si="47"/>
        <v>0</v>
      </c>
      <c r="F256" s="1">
        <f t="shared" si="39"/>
        <v>2.4999999999999892E-3</v>
      </c>
      <c r="G256" s="4">
        <f t="shared" si="40"/>
        <v>-3.1622205196071729E-2</v>
      </c>
      <c r="H256" s="4">
        <f t="shared" si="41"/>
        <v>6.0009298599985854</v>
      </c>
      <c r="I256" s="3">
        <f t="shared" si="42"/>
        <v>343.82795413195095</v>
      </c>
      <c r="J256" s="2">
        <f t="shared" si="43"/>
        <v>0.96064957609426238</v>
      </c>
      <c r="K256" s="2">
        <f t="shared" si="44"/>
        <v>-0.27776319401589916</v>
      </c>
      <c r="L256" s="4">
        <f t="shared" si="45"/>
        <v>1.5610962659601244E-2</v>
      </c>
      <c r="M256" s="4">
        <f t="shared" si="46"/>
        <v>-3.0247388096202011E-3</v>
      </c>
    </row>
    <row r="257" spans="1:13" x14ac:dyDescent="0.4">
      <c r="A257" s="1">
        <f t="shared" si="38"/>
        <v>12.750000000000046</v>
      </c>
      <c r="B257" s="1">
        <f t="shared" si="48"/>
        <v>2.2999999999998022E-4</v>
      </c>
      <c r="C257" s="1">
        <f t="shared" si="49"/>
        <v>4.7699999999999982E-3</v>
      </c>
      <c r="D257" s="1">
        <f t="shared" si="47"/>
        <v>0</v>
      </c>
      <c r="E257" s="1">
        <f t="shared" si="47"/>
        <v>0</v>
      </c>
      <c r="F257" s="1">
        <f t="shared" si="39"/>
        <v>2.4999999999999892E-3</v>
      </c>
      <c r="G257" s="4">
        <f t="shared" si="40"/>
        <v>-3.1622205196071729E-2</v>
      </c>
      <c r="H257" s="4">
        <f t="shared" si="41"/>
        <v>5.9993487497387816</v>
      </c>
      <c r="I257" s="3">
        <f t="shared" si="42"/>
        <v>343.73736318711934</v>
      </c>
      <c r="J257" s="2">
        <f t="shared" si="43"/>
        <v>0.96020920127306642</v>
      </c>
      <c r="K257" s="2">
        <f t="shared" si="44"/>
        <v>-0.2792817390925153</v>
      </c>
      <c r="L257" s="4">
        <f t="shared" si="45"/>
        <v>1.5730988809760378E-2</v>
      </c>
      <c r="M257" s="4">
        <f t="shared" si="46"/>
        <v>-3.0596490270067655E-3</v>
      </c>
    </row>
    <row r="258" spans="1:13" x14ac:dyDescent="0.4">
      <c r="A258" s="1">
        <f t="shared" si="38"/>
        <v>12.800000000000047</v>
      </c>
      <c r="B258" s="1">
        <f t="shared" si="48"/>
        <v>2.2999999999998022E-4</v>
      </c>
      <c r="C258" s="1">
        <f t="shared" si="49"/>
        <v>4.7699999999999982E-3</v>
      </c>
      <c r="D258" s="1">
        <f t="shared" si="47"/>
        <v>0</v>
      </c>
      <c r="E258" s="1">
        <f t="shared" si="47"/>
        <v>0</v>
      </c>
      <c r="F258" s="1">
        <f t="shared" si="39"/>
        <v>2.4999999999999892E-3</v>
      </c>
      <c r="G258" s="4">
        <f t="shared" si="40"/>
        <v>-3.1622205196071729E-2</v>
      </c>
      <c r="H258" s="4">
        <f t="shared" si="41"/>
        <v>5.9977676394789778</v>
      </c>
      <c r="I258" s="3">
        <f t="shared" si="42"/>
        <v>343.6467722422878</v>
      </c>
      <c r="J258" s="2">
        <f t="shared" si="43"/>
        <v>0.95976642601611828</v>
      </c>
      <c r="K258" s="2">
        <f t="shared" si="44"/>
        <v>-0.28079958599016291</v>
      </c>
      <c r="L258" s="4">
        <f t="shared" si="45"/>
        <v>1.5850959613012392E-2</v>
      </c>
      <c r="M258" s="4">
        <f t="shared" si="46"/>
        <v>-3.0947489752555356E-3</v>
      </c>
    </row>
    <row r="259" spans="1:13" x14ac:dyDescent="0.4">
      <c r="A259" s="1">
        <f t="shared" si="38"/>
        <v>12.850000000000048</v>
      </c>
      <c r="B259" s="1">
        <f t="shared" si="48"/>
        <v>2.2999999999998022E-4</v>
      </c>
      <c r="C259" s="1">
        <f t="shared" si="49"/>
        <v>4.7699999999999982E-3</v>
      </c>
      <c r="D259" s="1">
        <f t="shared" si="47"/>
        <v>0</v>
      </c>
      <c r="E259" s="1">
        <f t="shared" si="47"/>
        <v>0</v>
      </c>
      <c r="F259" s="1">
        <f t="shared" si="39"/>
        <v>2.4999999999999892E-3</v>
      </c>
      <c r="G259" s="4">
        <f t="shared" si="40"/>
        <v>-3.1622205196071729E-2</v>
      </c>
      <c r="H259" s="4">
        <f t="shared" si="41"/>
        <v>5.9961865292191741</v>
      </c>
      <c r="I259" s="3">
        <f t="shared" si="42"/>
        <v>343.55618129745613</v>
      </c>
      <c r="J259" s="2">
        <f t="shared" si="43"/>
        <v>0.95932125143031688</v>
      </c>
      <c r="K259" s="2">
        <f t="shared" si="44"/>
        <v>-0.28231673091435927</v>
      </c>
      <c r="L259" s="4">
        <f t="shared" si="45"/>
        <v>1.597087476944118E-2</v>
      </c>
      <c r="M259" s="4">
        <f t="shared" si="46"/>
        <v>-3.1300385666198304E-3</v>
      </c>
    </row>
    <row r="260" spans="1:13" x14ac:dyDescent="0.4">
      <c r="A260" s="1">
        <f t="shared" ref="A260:A323" si="50">A259+$P$3</f>
        <v>12.900000000000048</v>
      </c>
      <c r="B260" s="1">
        <f t="shared" si="48"/>
        <v>2.2999999999998022E-4</v>
      </c>
      <c r="C260" s="1">
        <f t="shared" si="49"/>
        <v>4.7699999999999982E-3</v>
      </c>
      <c r="D260" s="1">
        <f t="shared" si="47"/>
        <v>0</v>
      </c>
      <c r="E260" s="1">
        <f t="shared" si="47"/>
        <v>0</v>
      </c>
      <c r="F260" s="1">
        <f t="shared" ref="F260:F323" si="51">(B260+C260)/2</f>
        <v>2.4999999999999892E-3</v>
      </c>
      <c r="G260" s="4">
        <f t="shared" ref="G260:G323" si="52">(B260-C260)/R$3</f>
        <v>-3.1622205196071729E-2</v>
      </c>
      <c r="H260" s="4">
        <f t="shared" ref="H260:H323" si="53">H259+G260*P$3</f>
        <v>5.9946054189593703</v>
      </c>
      <c r="I260" s="3">
        <f t="shared" ref="I260:I323" si="54">H260*180/PI()</f>
        <v>343.46559035262453</v>
      </c>
      <c r="J260" s="2">
        <f t="shared" ref="J260:J323" si="55">COS((H260+H259)/2)</f>
        <v>0.9588736786285571</v>
      </c>
      <c r="K260" s="2">
        <f t="shared" ref="K260:K323" si="56">SIN((H260+H259)/2)</f>
        <v>-0.2838331700723834</v>
      </c>
      <c r="L260" s="4">
        <f t="shared" ref="L260:L323" si="57">L259+F260*P$3*J260</f>
        <v>1.6090733979269748E-2</v>
      </c>
      <c r="M260" s="4">
        <f t="shared" ref="M260:M323" si="58">M259+F260*P$3*K260</f>
        <v>-3.165517712878878E-3</v>
      </c>
    </row>
    <row r="261" spans="1:13" x14ac:dyDescent="0.4">
      <c r="A261" s="1">
        <f t="shared" si="50"/>
        <v>12.950000000000049</v>
      </c>
      <c r="B261" s="1">
        <f t="shared" si="48"/>
        <v>2.2999999999998022E-4</v>
      </c>
      <c r="C261" s="1">
        <f t="shared" si="49"/>
        <v>4.7699999999999982E-3</v>
      </c>
      <c r="D261" s="1">
        <f t="shared" ref="D261:E324" si="59">(B261-B260)/$P$3</f>
        <v>0</v>
      </c>
      <c r="E261" s="1">
        <f t="shared" si="59"/>
        <v>0</v>
      </c>
      <c r="F261" s="1">
        <f t="shared" si="51"/>
        <v>2.4999999999999892E-3</v>
      </c>
      <c r="G261" s="4">
        <f t="shared" si="52"/>
        <v>-3.1622205196071729E-2</v>
      </c>
      <c r="H261" s="4">
        <f t="shared" si="53"/>
        <v>5.9930243086995665</v>
      </c>
      <c r="I261" s="3">
        <f t="shared" si="54"/>
        <v>343.37499940779298</v>
      </c>
      <c r="J261" s="2">
        <f t="shared" si="55"/>
        <v>0.95842370872973148</v>
      </c>
      <c r="K261" s="2">
        <f t="shared" si="56"/>
        <v>-0.28534889967327176</v>
      </c>
      <c r="L261" s="4">
        <f t="shared" si="57"/>
        <v>1.6210536942860964E-2</v>
      </c>
      <c r="M261" s="4">
        <f t="shared" si="58"/>
        <v>-3.2011863253380369E-3</v>
      </c>
    </row>
    <row r="262" spans="1:13" x14ac:dyDescent="0.4">
      <c r="A262" s="1">
        <f t="shared" si="50"/>
        <v>13.00000000000005</v>
      </c>
      <c r="B262" s="1">
        <f t="shared" si="48"/>
        <v>2.2999999999998022E-4</v>
      </c>
      <c r="C262" s="1">
        <f t="shared" si="49"/>
        <v>4.7699999999999982E-3</v>
      </c>
      <c r="D262" s="1">
        <f t="shared" si="59"/>
        <v>0</v>
      </c>
      <c r="E262" s="1">
        <f t="shared" si="59"/>
        <v>0</v>
      </c>
      <c r="F262" s="1">
        <f t="shared" si="51"/>
        <v>2.4999999999999892E-3</v>
      </c>
      <c r="G262" s="4">
        <f t="shared" si="52"/>
        <v>-3.1622205196071729E-2</v>
      </c>
      <c r="H262" s="4">
        <f t="shared" si="53"/>
        <v>5.9914431984397627</v>
      </c>
      <c r="I262" s="3">
        <f t="shared" si="54"/>
        <v>343.28440846296138</v>
      </c>
      <c r="J262" s="2">
        <f t="shared" si="55"/>
        <v>0.95797134285872265</v>
      </c>
      <c r="K262" s="2">
        <f t="shared" si="56"/>
        <v>-0.28686391592784144</v>
      </c>
      <c r="L262" s="4">
        <f t="shared" si="57"/>
        <v>1.6330283360718303E-2</v>
      </c>
      <c r="M262" s="4">
        <f t="shared" si="58"/>
        <v>-3.2370443148290167E-3</v>
      </c>
    </row>
    <row r="263" spans="1:13" x14ac:dyDescent="0.4">
      <c r="A263" s="1">
        <f t="shared" si="50"/>
        <v>13.05000000000005</v>
      </c>
      <c r="B263" s="1">
        <f t="shared" ref="B263:B326" si="60">B262</f>
        <v>2.2999999999998022E-4</v>
      </c>
      <c r="C263" s="1">
        <f t="shared" ref="C263:C326" si="61">C262</f>
        <v>4.7699999999999982E-3</v>
      </c>
      <c r="D263" s="1">
        <f t="shared" si="59"/>
        <v>0</v>
      </c>
      <c r="E263" s="1">
        <f t="shared" si="59"/>
        <v>0</v>
      </c>
      <c r="F263" s="1">
        <f t="shared" si="51"/>
        <v>2.4999999999999892E-3</v>
      </c>
      <c r="G263" s="4">
        <f t="shared" si="52"/>
        <v>-3.1622205196071729E-2</v>
      </c>
      <c r="H263" s="4">
        <f t="shared" si="53"/>
        <v>5.9898620881799589</v>
      </c>
      <c r="I263" s="3">
        <f t="shared" si="54"/>
        <v>343.19381751812978</v>
      </c>
      <c r="J263" s="2">
        <f t="shared" si="55"/>
        <v>0.95751658214640534</v>
      </c>
      <c r="K263" s="2">
        <f t="shared" si="56"/>
        <v>-0.2883782150486861</v>
      </c>
      <c r="L263" s="4">
        <f t="shared" si="57"/>
        <v>1.6449972933486604E-2</v>
      </c>
      <c r="M263" s="4">
        <f t="shared" si="58"/>
        <v>-3.2730915917101025E-3</v>
      </c>
    </row>
    <row r="264" spans="1:13" x14ac:dyDescent="0.4">
      <c r="A264" s="1">
        <f t="shared" si="50"/>
        <v>13.100000000000051</v>
      </c>
      <c r="B264" s="1">
        <f t="shared" si="60"/>
        <v>2.2999999999998022E-4</v>
      </c>
      <c r="C264" s="1">
        <f t="shared" si="61"/>
        <v>4.7699999999999982E-3</v>
      </c>
      <c r="D264" s="1">
        <f t="shared" si="59"/>
        <v>0</v>
      </c>
      <c r="E264" s="1">
        <f t="shared" si="59"/>
        <v>0</v>
      </c>
      <c r="F264" s="1">
        <f t="shared" si="51"/>
        <v>2.4999999999999892E-3</v>
      </c>
      <c r="G264" s="4">
        <f t="shared" si="52"/>
        <v>-3.1622205196071729E-2</v>
      </c>
      <c r="H264" s="4">
        <f t="shared" si="53"/>
        <v>5.9882809779201551</v>
      </c>
      <c r="I264" s="3">
        <f t="shared" si="54"/>
        <v>343.10322657329823</v>
      </c>
      <c r="J264" s="2">
        <f t="shared" si="55"/>
        <v>0.95705942772963892</v>
      </c>
      <c r="K264" s="2">
        <f t="shared" si="56"/>
        <v>-0.28989179325019898</v>
      </c>
      <c r="L264" s="4">
        <f t="shared" si="57"/>
        <v>1.6569605361952809E-2</v>
      </c>
      <c r="M264" s="4">
        <f t="shared" si="58"/>
        <v>-3.3093280658663773E-3</v>
      </c>
    </row>
    <row r="265" spans="1:13" x14ac:dyDescent="0.4">
      <c r="A265" s="1">
        <f t="shared" si="50"/>
        <v>13.150000000000052</v>
      </c>
      <c r="B265" s="1">
        <f t="shared" si="60"/>
        <v>2.2999999999998022E-4</v>
      </c>
      <c r="C265" s="1">
        <f t="shared" si="61"/>
        <v>4.7699999999999982E-3</v>
      </c>
      <c r="D265" s="1">
        <f t="shared" si="59"/>
        <v>0</v>
      </c>
      <c r="E265" s="1">
        <f t="shared" si="59"/>
        <v>0</v>
      </c>
      <c r="F265" s="1">
        <f t="shared" si="51"/>
        <v>2.4999999999999892E-3</v>
      </c>
      <c r="G265" s="4">
        <f t="shared" si="52"/>
        <v>-3.1622205196071729E-2</v>
      </c>
      <c r="H265" s="4">
        <f t="shared" si="53"/>
        <v>5.9866998676603513</v>
      </c>
      <c r="I265" s="3">
        <f t="shared" si="54"/>
        <v>343.01263562846663</v>
      </c>
      <c r="J265" s="2">
        <f t="shared" si="55"/>
        <v>0.95659988075126889</v>
      </c>
      <c r="K265" s="2">
        <f t="shared" si="56"/>
        <v>-0.2914046467485687</v>
      </c>
      <c r="L265" s="4">
        <f t="shared" si="57"/>
        <v>1.6689180347046716E-2</v>
      </c>
      <c r="M265" s="4">
        <f t="shared" si="58"/>
        <v>-3.3457536467099481E-3</v>
      </c>
    </row>
    <row r="266" spans="1:13" x14ac:dyDescent="0.4">
      <c r="A266" s="1">
        <f t="shared" si="50"/>
        <v>13.200000000000053</v>
      </c>
      <c r="B266" s="1">
        <f t="shared" si="60"/>
        <v>2.2999999999998022E-4</v>
      </c>
      <c r="C266" s="1">
        <f t="shared" si="61"/>
        <v>4.7699999999999982E-3</v>
      </c>
      <c r="D266" s="1">
        <f t="shared" si="59"/>
        <v>0</v>
      </c>
      <c r="E266" s="1">
        <f t="shared" si="59"/>
        <v>0</v>
      </c>
      <c r="F266" s="1">
        <f t="shared" si="51"/>
        <v>2.4999999999999892E-3</v>
      </c>
      <c r="G266" s="4">
        <f t="shared" si="52"/>
        <v>-3.1622205196071729E-2</v>
      </c>
      <c r="H266" s="4">
        <f t="shared" si="53"/>
        <v>5.9851187574005476</v>
      </c>
      <c r="I266" s="3">
        <f t="shared" si="54"/>
        <v>342.92204468363497</v>
      </c>
      <c r="J266" s="2">
        <f t="shared" si="55"/>
        <v>0.95613794236012006</v>
      </c>
      <c r="K266" s="2">
        <f t="shared" si="56"/>
        <v>-0.29291677176180225</v>
      </c>
      <c r="L266" s="4">
        <f t="shared" si="57"/>
        <v>1.6808697589841728E-2</v>
      </c>
      <c r="M266" s="4">
        <f t="shared" si="58"/>
        <v>-3.3823682431801732E-3</v>
      </c>
    </row>
    <row r="267" spans="1:13" x14ac:dyDescent="0.4">
      <c r="A267" s="1">
        <f t="shared" si="50"/>
        <v>13.250000000000053</v>
      </c>
      <c r="B267" s="1">
        <f t="shared" si="60"/>
        <v>2.2999999999998022E-4</v>
      </c>
      <c r="C267" s="1">
        <f t="shared" si="61"/>
        <v>4.7699999999999982E-3</v>
      </c>
      <c r="D267" s="1">
        <f t="shared" si="59"/>
        <v>0</v>
      </c>
      <c r="E267" s="1">
        <f t="shared" si="59"/>
        <v>0</v>
      </c>
      <c r="F267" s="1">
        <f t="shared" si="51"/>
        <v>2.4999999999999892E-3</v>
      </c>
      <c r="G267" s="4">
        <f t="shared" si="52"/>
        <v>-3.1622205196071729E-2</v>
      </c>
      <c r="H267" s="4">
        <f t="shared" si="53"/>
        <v>5.9835376471407438</v>
      </c>
      <c r="I267" s="3">
        <f t="shared" si="54"/>
        <v>342.83145373880342</v>
      </c>
      <c r="J267" s="2">
        <f t="shared" si="55"/>
        <v>0.95567361371099735</v>
      </c>
      <c r="K267" s="2">
        <f t="shared" si="56"/>
        <v>-0.29442816450972131</v>
      </c>
      <c r="L267" s="4">
        <f t="shared" si="57"/>
        <v>1.6928156791555602E-2</v>
      </c>
      <c r="M267" s="4">
        <f t="shared" si="58"/>
        <v>-3.4191717637438884E-3</v>
      </c>
    </row>
    <row r="268" spans="1:13" x14ac:dyDescent="0.4">
      <c r="A268" s="1">
        <f t="shared" si="50"/>
        <v>13.300000000000054</v>
      </c>
      <c r="B268" s="1">
        <f t="shared" si="60"/>
        <v>2.2999999999998022E-4</v>
      </c>
      <c r="C268" s="1">
        <f t="shared" si="61"/>
        <v>4.7699999999999982E-3</v>
      </c>
      <c r="D268" s="1">
        <f t="shared" si="59"/>
        <v>0</v>
      </c>
      <c r="E268" s="1">
        <f t="shared" si="59"/>
        <v>0</v>
      </c>
      <c r="F268" s="1">
        <f t="shared" si="51"/>
        <v>2.4999999999999892E-3</v>
      </c>
      <c r="G268" s="4">
        <f t="shared" si="52"/>
        <v>-3.1622205196071729E-2</v>
      </c>
      <c r="H268" s="4">
        <f t="shared" si="53"/>
        <v>5.98195653688094</v>
      </c>
      <c r="I268" s="3">
        <f t="shared" si="54"/>
        <v>342.74086279397181</v>
      </c>
      <c r="J268" s="2">
        <f t="shared" si="55"/>
        <v>0.95520689596467911</v>
      </c>
      <c r="K268" s="2">
        <f t="shared" si="56"/>
        <v>-0.29593882121398457</v>
      </c>
      <c r="L268" s="4">
        <f t="shared" si="57"/>
        <v>1.7047557653551187E-2</v>
      </c>
      <c r="M268" s="4">
        <f t="shared" si="58"/>
        <v>-3.4561641163956365E-3</v>
      </c>
    </row>
    <row r="269" spans="1:13" x14ac:dyDescent="0.4">
      <c r="A269" s="1">
        <f t="shared" si="50"/>
        <v>13.350000000000055</v>
      </c>
      <c r="B269" s="1">
        <f t="shared" si="60"/>
        <v>2.2999999999998022E-4</v>
      </c>
      <c r="C269" s="1">
        <f t="shared" si="61"/>
        <v>4.7699999999999982E-3</v>
      </c>
      <c r="D269" s="1">
        <f t="shared" si="59"/>
        <v>0</v>
      </c>
      <c r="E269" s="1">
        <f t="shared" si="59"/>
        <v>0</v>
      </c>
      <c r="F269" s="1">
        <f t="shared" si="51"/>
        <v>2.4999999999999892E-3</v>
      </c>
      <c r="G269" s="4">
        <f t="shared" si="52"/>
        <v>-3.1622205196071729E-2</v>
      </c>
      <c r="H269" s="4">
        <f t="shared" si="53"/>
        <v>5.9803754266211362</v>
      </c>
      <c r="I269" s="3">
        <f t="shared" si="54"/>
        <v>342.65027184914027</v>
      </c>
      <c r="J269" s="2">
        <f t="shared" si="55"/>
        <v>0.95473779028791839</v>
      </c>
      <c r="K269" s="2">
        <f t="shared" si="56"/>
        <v>-0.29744873809808425</v>
      </c>
      <c r="L269" s="4">
        <f t="shared" si="57"/>
        <v>1.7166899877337174E-2</v>
      </c>
      <c r="M269" s="4">
        <f t="shared" si="58"/>
        <v>-3.4933452086578966E-3</v>
      </c>
    </row>
    <row r="270" spans="1:13" x14ac:dyDescent="0.4">
      <c r="A270" s="1">
        <f t="shared" si="50"/>
        <v>13.400000000000055</v>
      </c>
      <c r="B270" s="1">
        <f t="shared" si="60"/>
        <v>2.2999999999998022E-4</v>
      </c>
      <c r="C270" s="1">
        <f t="shared" si="61"/>
        <v>4.7699999999999982E-3</v>
      </c>
      <c r="D270" s="1">
        <f t="shared" si="59"/>
        <v>0</v>
      </c>
      <c r="E270" s="1">
        <f t="shared" si="59"/>
        <v>0</v>
      </c>
      <c r="F270" s="1">
        <f t="shared" si="51"/>
        <v>2.4999999999999892E-3</v>
      </c>
      <c r="G270" s="4">
        <f t="shared" si="52"/>
        <v>-3.1622205196071729E-2</v>
      </c>
      <c r="H270" s="4">
        <f t="shared" si="53"/>
        <v>5.9787943163613324</v>
      </c>
      <c r="I270" s="3">
        <f t="shared" si="54"/>
        <v>342.55968090430866</v>
      </c>
      <c r="J270" s="2">
        <f t="shared" si="55"/>
        <v>0.95426629785343575</v>
      </c>
      <c r="K270" s="2">
        <f t="shared" si="56"/>
        <v>-0.29895791138736866</v>
      </c>
      <c r="L270" s="4">
        <f t="shared" si="57"/>
        <v>1.7286183164568855E-2</v>
      </c>
      <c r="M270" s="4">
        <f t="shared" si="58"/>
        <v>-3.5307149475813176E-3</v>
      </c>
    </row>
    <row r="271" spans="1:13" x14ac:dyDescent="0.4">
      <c r="A271" s="1">
        <f t="shared" si="50"/>
        <v>13.450000000000056</v>
      </c>
      <c r="B271" s="1">
        <f t="shared" si="60"/>
        <v>2.2999999999998022E-4</v>
      </c>
      <c r="C271" s="1">
        <f t="shared" si="61"/>
        <v>4.7699999999999982E-3</v>
      </c>
      <c r="D271" s="1">
        <f t="shared" si="59"/>
        <v>0</v>
      </c>
      <c r="E271" s="1">
        <f t="shared" si="59"/>
        <v>0</v>
      </c>
      <c r="F271" s="1">
        <f t="shared" si="51"/>
        <v>2.4999999999999892E-3</v>
      </c>
      <c r="G271" s="4">
        <f t="shared" si="52"/>
        <v>-3.1622205196071729E-2</v>
      </c>
      <c r="H271" s="4">
        <f t="shared" si="53"/>
        <v>5.9772132061015286</v>
      </c>
      <c r="I271" s="3">
        <f t="shared" si="54"/>
        <v>342.46908995947712</v>
      </c>
      <c r="J271" s="2">
        <f t="shared" si="55"/>
        <v>0.95379241983992047</v>
      </c>
      <c r="K271" s="2">
        <f t="shared" si="56"/>
        <v>-0.30046633730903838</v>
      </c>
      <c r="L271" s="4">
        <f t="shared" si="57"/>
        <v>1.7405407217048845E-2</v>
      </c>
      <c r="M271" s="4">
        <f t="shared" si="58"/>
        <v>-3.5682732397449473E-3</v>
      </c>
    </row>
    <row r="272" spans="1:13" x14ac:dyDescent="0.4">
      <c r="A272" s="1">
        <f t="shared" si="50"/>
        <v>13.500000000000057</v>
      </c>
      <c r="B272" s="1">
        <f t="shared" si="60"/>
        <v>2.2999999999998022E-4</v>
      </c>
      <c r="C272" s="1">
        <f t="shared" si="61"/>
        <v>4.7699999999999982E-3</v>
      </c>
      <c r="D272" s="1">
        <f t="shared" si="59"/>
        <v>0</v>
      </c>
      <c r="E272" s="1">
        <f t="shared" si="59"/>
        <v>0</v>
      </c>
      <c r="F272" s="1">
        <f t="shared" si="51"/>
        <v>2.4999999999999892E-3</v>
      </c>
      <c r="G272" s="4">
        <f t="shared" si="52"/>
        <v>-3.1622205196071729E-2</v>
      </c>
      <c r="H272" s="4">
        <f t="shared" si="53"/>
        <v>5.9756320958417248</v>
      </c>
      <c r="I272" s="3">
        <f t="shared" si="54"/>
        <v>342.37849901464551</v>
      </c>
      <c r="J272" s="2">
        <f t="shared" si="55"/>
        <v>0.95331615743202347</v>
      </c>
      <c r="K272" s="2">
        <f t="shared" si="56"/>
        <v>-0.30197401209216906</v>
      </c>
      <c r="L272" s="4">
        <f t="shared" si="57"/>
        <v>1.7524571736727848E-2</v>
      </c>
      <c r="M272" s="4">
        <f t="shared" si="58"/>
        <v>-3.6060199912564682E-3</v>
      </c>
    </row>
    <row r="273" spans="1:13" x14ac:dyDescent="0.4">
      <c r="A273" s="1">
        <f t="shared" si="50"/>
        <v>13.550000000000058</v>
      </c>
      <c r="B273" s="1">
        <f t="shared" si="60"/>
        <v>2.2999999999998022E-4</v>
      </c>
      <c r="C273" s="1">
        <f t="shared" si="61"/>
        <v>4.7699999999999982E-3</v>
      </c>
      <c r="D273" s="1">
        <f t="shared" si="59"/>
        <v>0</v>
      </c>
      <c r="E273" s="1">
        <f t="shared" si="59"/>
        <v>0</v>
      </c>
      <c r="F273" s="1">
        <f t="shared" si="51"/>
        <v>2.4999999999999892E-3</v>
      </c>
      <c r="G273" s="4">
        <f t="shared" si="52"/>
        <v>-3.1622205196071729E-2</v>
      </c>
      <c r="H273" s="4">
        <f t="shared" si="53"/>
        <v>5.974050985581921</v>
      </c>
      <c r="I273" s="3">
        <f t="shared" si="54"/>
        <v>342.28790806981385</v>
      </c>
      <c r="J273" s="2">
        <f t="shared" si="55"/>
        <v>0.95283751182035847</v>
      </c>
      <c r="K273" s="2">
        <f t="shared" si="56"/>
        <v>-0.30348093196770731</v>
      </c>
      <c r="L273" s="4">
        <f t="shared" si="57"/>
        <v>1.7643676425705392E-2</v>
      </c>
      <c r="M273" s="4">
        <f t="shared" si="58"/>
        <v>-3.6439551077524315E-3</v>
      </c>
    </row>
    <row r="274" spans="1:13" x14ac:dyDescent="0.4">
      <c r="A274" s="1">
        <f t="shared" si="50"/>
        <v>13.600000000000058</v>
      </c>
      <c r="B274" s="1">
        <f t="shared" si="60"/>
        <v>2.2999999999998022E-4</v>
      </c>
      <c r="C274" s="1">
        <f t="shared" si="61"/>
        <v>4.7699999999999982E-3</v>
      </c>
      <c r="D274" s="1">
        <f t="shared" si="59"/>
        <v>0</v>
      </c>
      <c r="E274" s="1">
        <f t="shared" si="59"/>
        <v>0</v>
      </c>
      <c r="F274" s="1">
        <f t="shared" si="51"/>
        <v>2.4999999999999892E-3</v>
      </c>
      <c r="G274" s="4">
        <f t="shared" si="52"/>
        <v>-3.1622205196071729E-2</v>
      </c>
      <c r="H274" s="4">
        <f t="shared" si="53"/>
        <v>5.9724698753221173</v>
      </c>
      <c r="I274" s="3">
        <f t="shared" si="54"/>
        <v>342.19731712498231</v>
      </c>
      <c r="J274" s="2">
        <f t="shared" si="55"/>
        <v>0.9523564842014951</v>
      </c>
      <c r="K274" s="2">
        <f t="shared" si="56"/>
        <v>-0.30498709316849376</v>
      </c>
      <c r="L274" s="4">
        <f t="shared" si="57"/>
        <v>1.7762720986230579E-2</v>
      </c>
      <c r="M274" s="4">
        <f t="shared" si="58"/>
        <v>-3.6820784943984932E-3</v>
      </c>
    </row>
    <row r="275" spans="1:13" x14ac:dyDescent="0.4">
      <c r="A275" s="1">
        <f t="shared" si="50"/>
        <v>13.650000000000059</v>
      </c>
      <c r="B275" s="1">
        <f t="shared" si="60"/>
        <v>2.2999999999998022E-4</v>
      </c>
      <c r="C275" s="1">
        <f t="shared" si="61"/>
        <v>4.7699999999999982E-3</v>
      </c>
      <c r="D275" s="1">
        <f t="shared" si="59"/>
        <v>0</v>
      </c>
      <c r="E275" s="1">
        <f t="shared" si="59"/>
        <v>0</v>
      </c>
      <c r="F275" s="1">
        <f t="shared" si="51"/>
        <v>2.4999999999999892E-3</v>
      </c>
      <c r="G275" s="4">
        <f t="shared" si="52"/>
        <v>-3.1622205196071729E-2</v>
      </c>
      <c r="H275" s="4">
        <f t="shared" si="53"/>
        <v>5.9708887650623135</v>
      </c>
      <c r="I275" s="3">
        <f t="shared" si="54"/>
        <v>342.1067261801507</v>
      </c>
      <c r="J275" s="2">
        <f t="shared" si="55"/>
        <v>0.95187307577795954</v>
      </c>
      <c r="K275" s="2">
        <f t="shared" si="56"/>
        <v>-0.30649249192925893</v>
      </c>
      <c r="L275" s="4">
        <f t="shared" si="57"/>
        <v>1.7881705120702824E-2</v>
      </c>
      <c r="M275" s="4">
        <f t="shared" si="58"/>
        <v>-3.7203900558896502E-3</v>
      </c>
    </row>
    <row r="276" spans="1:13" x14ac:dyDescent="0.4">
      <c r="A276" s="1">
        <f t="shared" si="50"/>
        <v>13.70000000000006</v>
      </c>
      <c r="B276" s="1">
        <f t="shared" si="60"/>
        <v>2.2999999999998022E-4</v>
      </c>
      <c r="C276" s="1">
        <f t="shared" si="61"/>
        <v>4.7699999999999982E-3</v>
      </c>
      <c r="D276" s="1">
        <f t="shared" si="59"/>
        <v>0</v>
      </c>
      <c r="E276" s="1">
        <f t="shared" si="59"/>
        <v>0</v>
      </c>
      <c r="F276" s="1">
        <f t="shared" si="51"/>
        <v>2.4999999999999892E-3</v>
      </c>
      <c r="G276" s="4">
        <f t="shared" si="52"/>
        <v>-3.1622205196071729E-2</v>
      </c>
      <c r="H276" s="4">
        <f t="shared" si="53"/>
        <v>5.9693076548025097</v>
      </c>
      <c r="I276" s="3">
        <f t="shared" si="54"/>
        <v>342.0161352353191</v>
      </c>
      <c r="J276" s="2">
        <f t="shared" si="55"/>
        <v>0.95138728775822812</v>
      </c>
      <c r="K276" s="2">
        <f t="shared" si="56"/>
        <v>-0.30799712448664607</v>
      </c>
      <c r="L276" s="4">
        <f t="shared" si="57"/>
        <v>1.8000628531672603E-2</v>
      </c>
      <c r="M276" s="4">
        <f t="shared" si="58"/>
        <v>-3.7588896964504807E-3</v>
      </c>
    </row>
    <row r="277" spans="1:13" x14ac:dyDescent="0.4">
      <c r="A277" s="1">
        <f t="shared" si="50"/>
        <v>13.75000000000006</v>
      </c>
      <c r="B277" s="1">
        <f t="shared" si="60"/>
        <v>2.2999999999998022E-4</v>
      </c>
      <c r="C277" s="1">
        <f t="shared" si="61"/>
        <v>4.7699999999999982E-3</v>
      </c>
      <c r="D277" s="1">
        <f t="shared" si="59"/>
        <v>0</v>
      </c>
      <c r="E277" s="1">
        <f t="shared" si="59"/>
        <v>0</v>
      </c>
      <c r="F277" s="1">
        <f t="shared" si="51"/>
        <v>2.4999999999999892E-3</v>
      </c>
      <c r="G277" s="4">
        <f t="shared" si="52"/>
        <v>-3.1622205196071729E-2</v>
      </c>
      <c r="H277" s="4">
        <f t="shared" si="53"/>
        <v>5.9677265445427059</v>
      </c>
      <c r="I277" s="3">
        <f t="shared" si="54"/>
        <v>341.92554429048755</v>
      </c>
      <c r="J277" s="2">
        <f t="shared" si="55"/>
        <v>0.95089912135672761</v>
      </c>
      <c r="K277" s="2">
        <f t="shared" si="56"/>
        <v>-0.30950098707920709</v>
      </c>
      <c r="L277" s="4">
        <f t="shared" si="57"/>
        <v>1.8119490921842195E-2</v>
      </c>
      <c r="M277" s="4">
        <f t="shared" si="58"/>
        <v>-3.7975773198353816E-3</v>
      </c>
    </row>
    <row r="278" spans="1:13" x14ac:dyDescent="0.4">
      <c r="A278" s="1">
        <f t="shared" si="50"/>
        <v>13.800000000000061</v>
      </c>
      <c r="B278" s="1">
        <f t="shared" si="60"/>
        <v>2.2999999999998022E-4</v>
      </c>
      <c r="C278" s="1">
        <f t="shared" si="61"/>
        <v>4.7699999999999982E-3</v>
      </c>
      <c r="D278" s="1">
        <f t="shared" si="59"/>
        <v>0</v>
      </c>
      <c r="E278" s="1">
        <f t="shared" si="59"/>
        <v>0</v>
      </c>
      <c r="F278" s="1">
        <f t="shared" si="51"/>
        <v>2.4999999999999892E-3</v>
      </c>
      <c r="G278" s="4">
        <f t="shared" si="52"/>
        <v>-3.1622205196071729E-2</v>
      </c>
      <c r="H278" s="4">
        <f t="shared" si="53"/>
        <v>5.9661454342829021</v>
      </c>
      <c r="I278" s="3">
        <f t="shared" si="54"/>
        <v>341.83495334565595</v>
      </c>
      <c r="J278" s="2">
        <f t="shared" si="55"/>
        <v>0.95040857779382859</v>
      </c>
      <c r="K278" s="2">
        <f t="shared" si="56"/>
        <v>-0.31100407594742557</v>
      </c>
      <c r="L278" s="4">
        <f t="shared" si="57"/>
        <v>1.8238291994066423E-2</v>
      </c>
      <c r="M278" s="4">
        <f t="shared" si="58"/>
        <v>-3.8364528293288098E-3</v>
      </c>
    </row>
    <row r="279" spans="1:13" x14ac:dyDescent="0.4">
      <c r="A279" s="1">
        <f t="shared" si="50"/>
        <v>13.850000000000062</v>
      </c>
      <c r="B279" s="1">
        <f t="shared" si="60"/>
        <v>2.2999999999998022E-4</v>
      </c>
      <c r="C279" s="1">
        <f t="shared" si="61"/>
        <v>4.7699999999999982E-3</v>
      </c>
      <c r="D279" s="1">
        <f t="shared" si="59"/>
        <v>0</v>
      </c>
      <c r="E279" s="1">
        <f t="shared" si="59"/>
        <v>0</v>
      </c>
      <c r="F279" s="1">
        <f t="shared" si="51"/>
        <v>2.4999999999999892E-3</v>
      </c>
      <c r="G279" s="4">
        <f t="shared" si="52"/>
        <v>-3.1622205196071729E-2</v>
      </c>
      <c r="H279" s="4">
        <f t="shared" si="53"/>
        <v>5.9645643240230983</v>
      </c>
      <c r="I279" s="3">
        <f t="shared" si="54"/>
        <v>341.7443624008244</v>
      </c>
      <c r="J279" s="2">
        <f t="shared" si="55"/>
        <v>0.94991565829584657</v>
      </c>
      <c r="K279" s="2">
        <f t="shared" si="56"/>
        <v>-0.31250638733371255</v>
      </c>
      <c r="L279" s="4">
        <f t="shared" si="57"/>
        <v>1.8357031451353402E-2</v>
      </c>
      <c r="M279" s="4">
        <f t="shared" si="58"/>
        <v>-3.8755161277455237E-3</v>
      </c>
    </row>
    <row r="280" spans="1:13" x14ac:dyDescent="0.4">
      <c r="A280" s="1">
        <f t="shared" si="50"/>
        <v>13.900000000000063</v>
      </c>
      <c r="B280" s="1">
        <f t="shared" si="60"/>
        <v>2.2999999999998022E-4</v>
      </c>
      <c r="C280" s="1">
        <f t="shared" si="61"/>
        <v>4.7699999999999982E-3</v>
      </c>
      <c r="D280" s="1">
        <f t="shared" si="59"/>
        <v>0</v>
      </c>
      <c r="E280" s="1">
        <f t="shared" si="59"/>
        <v>0</v>
      </c>
      <c r="F280" s="1">
        <f t="shared" si="51"/>
        <v>2.4999999999999892E-3</v>
      </c>
      <c r="G280" s="4">
        <f t="shared" si="52"/>
        <v>-3.1622205196071729E-2</v>
      </c>
      <c r="H280" s="4">
        <f t="shared" si="53"/>
        <v>5.9629832137632945</v>
      </c>
      <c r="I280" s="3">
        <f t="shared" si="54"/>
        <v>341.6537714559928</v>
      </c>
      <c r="J280" s="2">
        <f t="shared" si="55"/>
        <v>0.9494203640950345</v>
      </c>
      <c r="K280" s="2">
        <f t="shared" si="56"/>
        <v>-0.31400791748242946</v>
      </c>
      <c r="L280" s="4">
        <f t="shared" si="57"/>
        <v>1.8475708996865282E-2</v>
      </c>
      <c r="M280" s="4">
        <f t="shared" si="58"/>
        <v>-3.9147671174308268E-3</v>
      </c>
    </row>
    <row r="281" spans="1:13" x14ac:dyDescent="0.4">
      <c r="A281" s="1">
        <f t="shared" si="50"/>
        <v>13.950000000000063</v>
      </c>
      <c r="B281" s="1">
        <f t="shared" si="60"/>
        <v>2.2999999999998022E-4</v>
      </c>
      <c r="C281" s="1">
        <f t="shared" si="61"/>
        <v>4.7699999999999982E-3</v>
      </c>
      <c r="D281" s="1">
        <f t="shared" si="59"/>
        <v>0</v>
      </c>
      <c r="E281" s="1">
        <f t="shared" si="59"/>
        <v>0</v>
      </c>
      <c r="F281" s="1">
        <f t="shared" si="51"/>
        <v>2.4999999999999892E-3</v>
      </c>
      <c r="G281" s="4">
        <f t="shared" si="52"/>
        <v>-3.1622205196071729E-2</v>
      </c>
      <c r="H281" s="4">
        <f t="shared" si="53"/>
        <v>5.9614021035034908</v>
      </c>
      <c r="I281" s="3">
        <f t="shared" si="54"/>
        <v>341.56318051116114</v>
      </c>
      <c r="J281" s="2">
        <f t="shared" si="55"/>
        <v>0.94892269642958371</v>
      </c>
      <c r="K281" s="2">
        <f t="shared" si="56"/>
        <v>-0.31550866263988397</v>
      </c>
      <c r="L281" s="4">
        <f t="shared" si="57"/>
        <v>1.8594324333918978E-2</v>
      </c>
      <c r="M281" s="4">
        <f t="shared" si="58"/>
        <v>-3.9542057002608117E-3</v>
      </c>
    </row>
    <row r="282" spans="1:13" x14ac:dyDescent="0.4">
      <c r="A282" s="1">
        <f t="shared" si="50"/>
        <v>14.000000000000064</v>
      </c>
      <c r="B282" s="1">
        <f t="shared" si="60"/>
        <v>2.2999999999998022E-4</v>
      </c>
      <c r="C282" s="1">
        <f t="shared" si="61"/>
        <v>4.7699999999999982E-3</v>
      </c>
      <c r="D282" s="1">
        <f t="shared" si="59"/>
        <v>0</v>
      </c>
      <c r="E282" s="1">
        <f t="shared" si="59"/>
        <v>0</v>
      </c>
      <c r="F282" s="1">
        <f t="shared" si="51"/>
        <v>2.4999999999999892E-3</v>
      </c>
      <c r="G282" s="4">
        <f t="shared" si="52"/>
        <v>-3.1622205196071729E-2</v>
      </c>
      <c r="H282" s="4">
        <f t="shared" si="53"/>
        <v>5.959820993243687</v>
      </c>
      <c r="I282" s="3">
        <f t="shared" si="54"/>
        <v>341.47258956632959</v>
      </c>
      <c r="J282" s="2">
        <f t="shared" si="55"/>
        <v>0.94842265654361724</v>
      </c>
      <c r="K282" s="2">
        <f t="shared" si="56"/>
        <v>-0.31700861905435296</v>
      </c>
      <c r="L282" s="4">
        <f t="shared" si="57"/>
        <v>1.8712877165986928E-2</v>
      </c>
      <c r="M282" s="4">
        <f t="shared" si="58"/>
        <v>-3.9938317776426055E-3</v>
      </c>
    </row>
    <row r="283" spans="1:13" x14ac:dyDescent="0.4">
      <c r="A283" s="1">
        <f t="shared" si="50"/>
        <v>14.050000000000065</v>
      </c>
      <c r="B283" s="1">
        <f t="shared" si="60"/>
        <v>2.2999999999998022E-4</v>
      </c>
      <c r="C283" s="1">
        <f t="shared" si="61"/>
        <v>4.7699999999999982E-3</v>
      </c>
      <c r="D283" s="1">
        <f t="shared" si="59"/>
        <v>0</v>
      </c>
      <c r="E283" s="1">
        <f t="shared" si="59"/>
        <v>0</v>
      </c>
      <c r="F283" s="1">
        <f t="shared" si="51"/>
        <v>2.4999999999999892E-3</v>
      </c>
      <c r="G283" s="4">
        <f t="shared" si="52"/>
        <v>-3.1622205196071729E-2</v>
      </c>
      <c r="H283" s="4">
        <f t="shared" si="53"/>
        <v>5.9582398829838832</v>
      </c>
      <c r="I283" s="3">
        <f t="shared" si="54"/>
        <v>341.38199862149798</v>
      </c>
      <c r="J283" s="2">
        <f t="shared" si="55"/>
        <v>0.94792024568719047</v>
      </c>
      <c r="K283" s="2">
        <f t="shared" si="56"/>
        <v>-0.31850778297607824</v>
      </c>
      <c r="L283" s="4">
        <f t="shared" si="57"/>
        <v>1.8831367196697826E-2</v>
      </c>
      <c r="M283" s="4">
        <f t="shared" si="58"/>
        <v>-4.0336452505146149E-3</v>
      </c>
    </row>
    <row r="284" spans="1:13" x14ac:dyDescent="0.4">
      <c r="A284" s="1">
        <f t="shared" si="50"/>
        <v>14.100000000000065</v>
      </c>
      <c r="B284" s="1">
        <f t="shared" si="60"/>
        <v>2.2999999999998022E-4</v>
      </c>
      <c r="C284" s="1">
        <f t="shared" si="61"/>
        <v>4.7699999999999982E-3</v>
      </c>
      <c r="D284" s="1">
        <f t="shared" si="59"/>
        <v>0</v>
      </c>
      <c r="E284" s="1">
        <f t="shared" si="59"/>
        <v>0</v>
      </c>
      <c r="F284" s="1">
        <f t="shared" si="51"/>
        <v>2.4999999999999892E-3</v>
      </c>
      <c r="G284" s="4">
        <f t="shared" si="52"/>
        <v>-3.1622205196071729E-2</v>
      </c>
      <c r="H284" s="4">
        <f t="shared" si="53"/>
        <v>5.9566587727240794</v>
      </c>
      <c r="I284" s="3">
        <f t="shared" si="54"/>
        <v>341.29140767666638</v>
      </c>
      <c r="J284" s="2">
        <f t="shared" si="55"/>
        <v>0.94741546511628361</v>
      </c>
      <c r="K284" s="2">
        <f t="shared" si="56"/>
        <v>-0.32000615065728971</v>
      </c>
      <c r="L284" s="4">
        <f t="shared" si="57"/>
        <v>1.8949794129837362E-2</v>
      </c>
      <c r="M284" s="4">
        <f t="shared" si="58"/>
        <v>-4.0736460193467761E-3</v>
      </c>
    </row>
    <row r="285" spans="1:13" x14ac:dyDescent="0.4">
      <c r="A285" s="1">
        <f t="shared" si="50"/>
        <v>14.150000000000066</v>
      </c>
      <c r="B285" s="1">
        <f t="shared" si="60"/>
        <v>2.2999999999998022E-4</v>
      </c>
      <c r="C285" s="1">
        <f t="shared" si="61"/>
        <v>4.7699999999999982E-3</v>
      </c>
      <c r="D285" s="1">
        <f t="shared" si="59"/>
        <v>0</v>
      </c>
      <c r="E285" s="1">
        <f t="shared" si="59"/>
        <v>0</v>
      </c>
      <c r="F285" s="1">
        <f t="shared" si="51"/>
        <v>2.4999999999999892E-3</v>
      </c>
      <c r="G285" s="4">
        <f t="shared" si="52"/>
        <v>-3.1622205196071729E-2</v>
      </c>
      <c r="H285" s="4">
        <f t="shared" si="53"/>
        <v>5.9550776624642756</v>
      </c>
      <c r="I285" s="3">
        <f t="shared" si="54"/>
        <v>341.20081673183483</v>
      </c>
      <c r="J285" s="2">
        <f t="shared" si="55"/>
        <v>0.94690831609280357</v>
      </c>
      <c r="K285" s="2">
        <f t="shared" si="56"/>
        <v>-0.32150371835220087</v>
      </c>
      <c r="L285" s="4">
        <f t="shared" si="57"/>
        <v>1.906815766934896E-2</v>
      </c>
      <c r="M285" s="4">
        <f t="shared" si="58"/>
        <v>-4.1138339841408009E-3</v>
      </c>
    </row>
    <row r="286" spans="1:13" x14ac:dyDescent="0.4">
      <c r="A286" s="1">
        <f t="shared" si="50"/>
        <v>14.200000000000067</v>
      </c>
      <c r="B286" s="1">
        <f t="shared" si="60"/>
        <v>2.2999999999998022E-4</v>
      </c>
      <c r="C286" s="1">
        <f t="shared" si="61"/>
        <v>4.7699999999999982E-3</v>
      </c>
      <c r="D286" s="1">
        <f t="shared" si="59"/>
        <v>0</v>
      </c>
      <c r="E286" s="1">
        <f t="shared" si="59"/>
        <v>0</v>
      </c>
      <c r="F286" s="1">
        <f t="shared" si="51"/>
        <v>2.4999999999999892E-3</v>
      </c>
      <c r="G286" s="4">
        <f t="shared" si="52"/>
        <v>-3.1622205196071729E-2</v>
      </c>
      <c r="H286" s="4">
        <f t="shared" si="53"/>
        <v>5.9534965522044718</v>
      </c>
      <c r="I286" s="3">
        <f t="shared" si="54"/>
        <v>341.11022578700323</v>
      </c>
      <c r="J286" s="2">
        <f t="shared" si="55"/>
        <v>0.94639879988457543</v>
      </c>
      <c r="K286" s="2">
        <f t="shared" si="56"/>
        <v>-0.32300048231703193</v>
      </c>
      <c r="L286" s="4">
        <f t="shared" si="57"/>
        <v>1.9186457519334531E-2</v>
      </c>
      <c r="M286" s="4">
        <f t="shared" si="58"/>
        <v>-4.1542090444304297E-3</v>
      </c>
    </row>
    <row r="287" spans="1:13" x14ac:dyDescent="0.4">
      <c r="A287" s="1">
        <f t="shared" si="50"/>
        <v>14.250000000000068</v>
      </c>
      <c r="B287" s="1">
        <f t="shared" si="60"/>
        <v>2.2999999999998022E-4</v>
      </c>
      <c r="C287" s="1">
        <f t="shared" si="61"/>
        <v>4.7699999999999982E-3</v>
      </c>
      <c r="D287" s="1">
        <f t="shared" si="59"/>
        <v>0</v>
      </c>
      <c r="E287" s="1">
        <f t="shared" si="59"/>
        <v>0</v>
      </c>
      <c r="F287" s="1">
        <f t="shared" si="51"/>
        <v>2.4999999999999892E-3</v>
      </c>
      <c r="G287" s="4">
        <f t="shared" si="52"/>
        <v>-3.1622205196071729E-2</v>
      </c>
      <c r="H287" s="4">
        <f t="shared" si="53"/>
        <v>5.951915441944668</v>
      </c>
      <c r="I287" s="3">
        <f t="shared" si="54"/>
        <v>341.01963484217168</v>
      </c>
      <c r="J287" s="2">
        <f t="shared" si="55"/>
        <v>0.94588691776534484</v>
      </c>
      <c r="K287" s="2">
        <f t="shared" si="56"/>
        <v>-0.32449643881000567</v>
      </c>
      <c r="L287" s="4">
        <f t="shared" si="57"/>
        <v>1.9304693384055199E-2</v>
      </c>
      <c r="M287" s="4">
        <f t="shared" si="58"/>
        <v>-4.19477109928168E-3</v>
      </c>
    </row>
    <row r="288" spans="1:13" x14ac:dyDescent="0.4">
      <c r="A288" s="1">
        <f t="shared" si="50"/>
        <v>14.300000000000068</v>
      </c>
      <c r="B288" s="1">
        <f t="shared" si="60"/>
        <v>2.2999999999998022E-4</v>
      </c>
      <c r="C288" s="1">
        <f t="shared" si="61"/>
        <v>4.7699999999999982E-3</v>
      </c>
      <c r="D288" s="1">
        <f t="shared" si="59"/>
        <v>0</v>
      </c>
      <c r="E288" s="1">
        <f t="shared" si="59"/>
        <v>0</v>
      </c>
      <c r="F288" s="1">
        <f t="shared" si="51"/>
        <v>2.4999999999999892E-3</v>
      </c>
      <c r="G288" s="4">
        <f t="shared" si="52"/>
        <v>-3.1622205196071729E-2</v>
      </c>
      <c r="H288" s="4">
        <f t="shared" si="53"/>
        <v>5.9503343316848643</v>
      </c>
      <c r="I288" s="3">
        <f t="shared" si="54"/>
        <v>340.92904389734002</v>
      </c>
      <c r="J288" s="2">
        <f t="shared" si="55"/>
        <v>0.94537267101476929</v>
      </c>
      <c r="K288" s="2">
        <f t="shared" si="56"/>
        <v>-0.32599158409137013</v>
      </c>
      <c r="L288" s="4">
        <f t="shared" si="57"/>
        <v>1.9422864967932045E-2</v>
      </c>
      <c r="M288" s="4">
        <f t="shared" si="58"/>
        <v>-4.2355200472931013E-3</v>
      </c>
    </row>
    <row r="289" spans="1:13" x14ac:dyDescent="0.4">
      <c r="A289" s="1">
        <f t="shared" si="50"/>
        <v>14.350000000000069</v>
      </c>
      <c r="B289" s="1">
        <f t="shared" si="60"/>
        <v>2.2999999999998022E-4</v>
      </c>
      <c r="C289" s="1">
        <f t="shared" si="61"/>
        <v>4.7699999999999982E-3</v>
      </c>
      <c r="D289" s="1">
        <f t="shared" si="59"/>
        <v>0</v>
      </c>
      <c r="E289" s="1">
        <f t="shared" si="59"/>
        <v>0</v>
      </c>
      <c r="F289" s="1">
        <f t="shared" si="51"/>
        <v>2.4999999999999892E-3</v>
      </c>
      <c r="G289" s="4">
        <f t="shared" si="52"/>
        <v>-3.1622205196071729E-2</v>
      </c>
      <c r="H289" s="4">
        <f t="shared" si="53"/>
        <v>5.9487532214250605</v>
      </c>
      <c r="I289" s="3">
        <f t="shared" si="54"/>
        <v>340.83845295250842</v>
      </c>
      <c r="J289" s="2">
        <f t="shared" si="55"/>
        <v>0.94485606091842</v>
      </c>
      <c r="K289" s="2">
        <f t="shared" si="56"/>
        <v>-0.32748591442339464</v>
      </c>
      <c r="L289" s="4">
        <f t="shared" si="57"/>
        <v>1.9540971975546845E-2</v>
      </c>
      <c r="M289" s="4">
        <f t="shared" si="58"/>
        <v>-4.2764557865960255E-3</v>
      </c>
    </row>
    <row r="290" spans="1:13" x14ac:dyDescent="0.4">
      <c r="A290" s="1">
        <f t="shared" si="50"/>
        <v>14.40000000000007</v>
      </c>
      <c r="B290" s="1">
        <f t="shared" si="60"/>
        <v>2.2999999999998022E-4</v>
      </c>
      <c r="C290" s="1">
        <f t="shared" si="61"/>
        <v>4.7699999999999982E-3</v>
      </c>
      <c r="D290" s="1">
        <f t="shared" si="59"/>
        <v>0</v>
      </c>
      <c r="E290" s="1">
        <f t="shared" si="59"/>
        <v>0</v>
      </c>
      <c r="F290" s="1">
        <f t="shared" si="51"/>
        <v>2.4999999999999892E-3</v>
      </c>
      <c r="G290" s="4">
        <f t="shared" si="52"/>
        <v>-3.1622205196071729E-2</v>
      </c>
      <c r="H290" s="4">
        <f t="shared" si="53"/>
        <v>5.9471721111652567</v>
      </c>
      <c r="I290" s="3">
        <f t="shared" si="54"/>
        <v>340.74786200767687</v>
      </c>
      <c r="J290" s="2">
        <f t="shared" si="55"/>
        <v>0.94433708876777434</v>
      </c>
      <c r="K290" s="2">
        <f t="shared" si="56"/>
        <v>-0.32897942607039243</v>
      </c>
      <c r="L290" s="4">
        <f t="shared" si="57"/>
        <v>1.9659014111642815E-2</v>
      </c>
      <c r="M290" s="4">
        <f t="shared" si="58"/>
        <v>-4.3175782148548248E-3</v>
      </c>
    </row>
    <row r="291" spans="1:13" x14ac:dyDescent="0.4">
      <c r="A291" s="1">
        <f t="shared" si="50"/>
        <v>14.45000000000007</v>
      </c>
      <c r="B291" s="1">
        <f t="shared" si="60"/>
        <v>2.2999999999998022E-4</v>
      </c>
      <c r="C291" s="1">
        <f t="shared" si="61"/>
        <v>4.7699999999999982E-3</v>
      </c>
      <c r="D291" s="1">
        <f t="shared" si="59"/>
        <v>0</v>
      </c>
      <c r="E291" s="1">
        <f t="shared" si="59"/>
        <v>0</v>
      </c>
      <c r="F291" s="1">
        <f t="shared" si="51"/>
        <v>2.4999999999999892E-3</v>
      </c>
      <c r="G291" s="4">
        <f t="shared" si="52"/>
        <v>-3.1622205196071729E-2</v>
      </c>
      <c r="H291" s="4">
        <f t="shared" si="53"/>
        <v>5.9455910009054529</v>
      </c>
      <c r="I291" s="3">
        <f t="shared" si="54"/>
        <v>340.65727106284527</v>
      </c>
      <c r="J291" s="2">
        <f t="shared" si="55"/>
        <v>0.94381575586021638</v>
      </c>
      <c r="K291" s="2">
        <f t="shared" si="56"/>
        <v>-0.33047211529871678</v>
      </c>
      <c r="L291" s="4">
        <f t="shared" si="57"/>
        <v>1.9776991081125343E-2</v>
      </c>
      <c r="M291" s="4">
        <f t="shared" si="58"/>
        <v>-4.3588872292671639E-3</v>
      </c>
    </row>
    <row r="292" spans="1:13" x14ac:dyDescent="0.4">
      <c r="A292" s="1">
        <f t="shared" si="50"/>
        <v>14.500000000000071</v>
      </c>
      <c r="B292" s="1">
        <f t="shared" si="60"/>
        <v>2.2999999999998022E-4</v>
      </c>
      <c r="C292" s="1">
        <f t="shared" si="61"/>
        <v>4.7699999999999982E-3</v>
      </c>
      <c r="D292" s="1">
        <f t="shared" si="59"/>
        <v>0</v>
      </c>
      <c r="E292" s="1">
        <f t="shared" si="59"/>
        <v>0</v>
      </c>
      <c r="F292" s="1">
        <f t="shared" si="51"/>
        <v>2.4999999999999892E-3</v>
      </c>
      <c r="G292" s="4">
        <f t="shared" si="52"/>
        <v>-3.1622205196071729E-2</v>
      </c>
      <c r="H292" s="4">
        <f t="shared" si="53"/>
        <v>5.9440098906456491</v>
      </c>
      <c r="I292" s="3">
        <f t="shared" si="54"/>
        <v>340.56668011801372</v>
      </c>
      <c r="J292" s="2">
        <f t="shared" si="55"/>
        <v>0.94329206349903016</v>
      </c>
      <c r="K292" s="2">
        <f t="shared" si="56"/>
        <v>-0.33196397837678365</v>
      </c>
      <c r="L292" s="4">
        <f t="shared" si="57"/>
        <v>1.9894902589062721E-2</v>
      </c>
      <c r="M292" s="4">
        <f t="shared" si="58"/>
        <v>-4.4003827265642614E-3</v>
      </c>
    </row>
    <row r="293" spans="1:13" x14ac:dyDescent="0.4">
      <c r="A293" s="1">
        <f t="shared" si="50"/>
        <v>14.550000000000072</v>
      </c>
      <c r="B293" s="1">
        <f t="shared" si="60"/>
        <v>2.2999999999998022E-4</v>
      </c>
      <c r="C293" s="1">
        <f t="shared" si="61"/>
        <v>4.7699999999999982E-3</v>
      </c>
      <c r="D293" s="1">
        <f t="shared" si="59"/>
        <v>0</v>
      </c>
      <c r="E293" s="1">
        <f t="shared" si="59"/>
        <v>0</v>
      </c>
      <c r="F293" s="1">
        <f t="shared" si="51"/>
        <v>2.4999999999999892E-3</v>
      </c>
      <c r="G293" s="4">
        <f t="shared" si="52"/>
        <v>-3.1622205196071729E-2</v>
      </c>
      <c r="H293" s="4">
        <f t="shared" si="53"/>
        <v>5.9424287803858453</v>
      </c>
      <c r="I293" s="3">
        <f t="shared" si="54"/>
        <v>340.47608917318212</v>
      </c>
      <c r="J293" s="2">
        <f t="shared" si="55"/>
        <v>0.94276601299340002</v>
      </c>
      <c r="K293" s="2">
        <f t="shared" si="56"/>
        <v>-0.33345501157506752</v>
      </c>
      <c r="L293" s="4">
        <f t="shared" si="57"/>
        <v>2.0012748340686896E-2</v>
      </c>
      <c r="M293" s="4">
        <f t="shared" si="58"/>
        <v>-4.4420646030111444E-3</v>
      </c>
    </row>
    <row r="294" spans="1:13" x14ac:dyDescent="0.4">
      <c r="A294" s="1">
        <f t="shared" si="50"/>
        <v>14.600000000000072</v>
      </c>
      <c r="B294" s="1">
        <f t="shared" si="60"/>
        <v>2.2999999999998022E-4</v>
      </c>
      <c r="C294" s="1">
        <f t="shared" si="61"/>
        <v>4.7699999999999982E-3</v>
      </c>
      <c r="D294" s="1">
        <f t="shared" si="59"/>
        <v>0</v>
      </c>
      <c r="E294" s="1">
        <f t="shared" si="59"/>
        <v>0</v>
      </c>
      <c r="F294" s="1">
        <f t="shared" si="51"/>
        <v>2.4999999999999892E-3</v>
      </c>
      <c r="G294" s="4">
        <f t="shared" si="52"/>
        <v>-3.1622205196071729E-2</v>
      </c>
      <c r="H294" s="4">
        <f t="shared" si="53"/>
        <v>5.9408476701260415</v>
      </c>
      <c r="I294" s="3">
        <f t="shared" si="54"/>
        <v>340.38549822835051</v>
      </c>
      <c r="J294" s="2">
        <f t="shared" si="55"/>
        <v>0.9422376056584032</v>
      </c>
      <c r="K294" s="2">
        <f t="shared" si="56"/>
        <v>-0.33494521116612419</v>
      </c>
      <c r="L294" s="4">
        <f t="shared" si="57"/>
        <v>2.0130528041394195E-2</v>
      </c>
      <c r="M294" s="4">
        <f t="shared" si="58"/>
        <v>-4.4839327544069097E-3</v>
      </c>
    </row>
    <row r="295" spans="1:13" x14ac:dyDescent="0.4">
      <c r="A295" s="1">
        <f t="shared" si="50"/>
        <v>14.650000000000073</v>
      </c>
      <c r="B295" s="1">
        <f t="shared" si="60"/>
        <v>2.2999999999998022E-4</v>
      </c>
      <c r="C295" s="1">
        <f t="shared" si="61"/>
        <v>4.7699999999999982E-3</v>
      </c>
      <c r="D295" s="1">
        <f t="shared" si="59"/>
        <v>0</v>
      </c>
      <c r="E295" s="1">
        <f t="shared" si="59"/>
        <v>0</v>
      </c>
      <c r="F295" s="1">
        <f t="shared" si="51"/>
        <v>2.4999999999999892E-3</v>
      </c>
      <c r="G295" s="4">
        <f t="shared" si="52"/>
        <v>-3.1622205196071729E-2</v>
      </c>
      <c r="H295" s="4">
        <f t="shared" si="53"/>
        <v>5.9392665598662377</v>
      </c>
      <c r="I295" s="3">
        <f t="shared" si="54"/>
        <v>340.29490728351891</v>
      </c>
      <c r="J295" s="2">
        <f t="shared" si="55"/>
        <v>0.94170684281501127</v>
      </c>
      <c r="K295" s="2">
        <f t="shared" si="56"/>
        <v>-0.33643457342458682</v>
      </c>
      <c r="L295" s="4">
        <f t="shared" si="57"/>
        <v>2.024824139674607E-2</v>
      </c>
      <c r="M295" s="4">
        <f t="shared" si="58"/>
        <v>-4.5259870760849825E-3</v>
      </c>
    </row>
    <row r="296" spans="1:13" x14ac:dyDescent="0.4">
      <c r="A296" s="1">
        <f t="shared" si="50"/>
        <v>14.700000000000074</v>
      </c>
      <c r="B296" s="1">
        <f t="shared" si="60"/>
        <v>2.2999999999998022E-4</v>
      </c>
      <c r="C296" s="1">
        <f t="shared" si="61"/>
        <v>4.7699999999999982E-3</v>
      </c>
      <c r="D296" s="1">
        <f t="shared" si="59"/>
        <v>0</v>
      </c>
      <c r="E296" s="1">
        <f t="shared" si="59"/>
        <v>0</v>
      </c>
      <c r="F296" s="1">
        <f t="shared" si="51"/>
        <v>2.4999999999999892E-3</v>
      </c>
      <c r="G296" s="4">
        <f t="shared" si="52"/>
        <v>-3.1622205196071729E-2</v>
      </c>
      <c r="H296" s="4">
        <f t="shared" si="53"/>
        <v>5.937685449606434</v>
      </c>
      <c r="I296" s="3">
        <f t="shared" si="54"/>
        <v>340.20431633868731</v>
      </c>
      <c r="J296" s="2">
        <f t="shared" si="55"/>
        <v>0.94117372579008185</v>
      </c>
      <c r="K296" s="2">
        <f t="shared" si="56"/>
        <v>-0.33792309462718839</v>
      </c>
      <c r="L296" s="4">
        <f t="shared" si="57"/>
        <v>2.0365888112469831E-2</v>
      </c>
      <c r="M296" s="4">
        <f t="shared" si="58"/>
        <v>-4.5682274629133806E-3</v>
      </c>
    </row>
    <row r="297" spans="1:13" x14ac:dyDescent="0.4">
      <c r="A297" s="1">
        <f t="shared" si="50"/>
        <v>14.750000000000075</v>
      </c>
      <c r="B297" s="1">
        <f t="shared" si="60"/>
        <v>2.2999999999998022E-4</v>
      </c>
      <c r="C297" s="1">
        <f t="shared" si="61"/>
        <v>4.7699999999999982E-3</v>
      </c>
      <c r="D297" s="1">
        <f t="shared" si="59"/>
        <v>0</v>
      </c>
      <c r="E297" s="1">
        <f t="shared" si="59"/>
        <v>0</v>
      </c>
      <c r="F297" s="1">
        <f t="shared" si="51"/>
        <v>2.4999999999999892E-3</v>
      </c>
      <c r="G297" s="4">
        <f t="shared" si="52"/>
        <v>-3.1622205196071729E-2</v>
      </c>
      <c r="H297" s="4">
        <f t="shared" si="53"/>
        <v>5.9361043393466302</v>
      </c>
      <c r="I297" s="3">
        <f t="shared" si="54"/>
        <v>340.1137253938557</v>
      </c>
      <c r="J297" s="2">
        <f t="shared" si="55"/>
        <v>0.94063825591636041</v>
      </c>
      <c r="K297" s="2">
        <f t="shared" si="56"/>
        <v>-0.33941077105275785</v>
      </c>
      <c r="L297" s="4">
        <f t="shared" si="57"/>
        <v>2.0483467894459376E-2</v>
      </c>
      <c r="M297" s="4">
        <f t="shared" si="58"/>
        <v>-4.6106538092949749E-3</v>
      </c>
    </row>
    <row r="298" spans="1:13" x14ac:dyDescent="0.4">
      <c r="A298" s="1">
        <f t="shared" si="50"/>
        <v>14.800000000000075</v>
      </c>
      <c r="B298" s="1">
        <f t="shared" si="60"/>
        <v>2.2999999999998022E-4</v>
      </c>
      <c r="C298" s="1">
        <f t="shared" si="61"/>
        <v>4.7699999999999982E-3</v>
      </c>
      <c r="D298" s="1">
        <f t="shared" si="59"/>
        <v>0</v>
      </c>
      <c r="E298" s="1">
        <f t="shared" si="59"/>
        <v>0</v>
      </c>
      <c r="F298" s="1">
        <f t="shared" si="51"/>
        <v>2.4999999999999892E-3</v>
      </c>
      <c r="G298" s="4">
        <f t="shared" si="52"/>
        <v>-3.1622205196071729E-2</v>
      </c>
      <c r="H298" s="4">
        <f t="shared" si="53"/>
        <v>5.9345232290868264</v>
      </c>
      <c r="I298" s="3">
        <f t="shared" si="54"/>
        <v>340.02313444902416</v>
      </c>
      <c r="J298" s="2">
        <f t="shared" si="55"/>
        <v>0.94010043453247172</v>
      </c>
      <c r="K298" s="2">
        <f t="shared" si="56"/>
        <v>-0.34089759898224259</v>
      </c>
      <c r="L298" s="4">
        <f t="shared" si="57"/>
        <v>2.0600980448775934E-2</v>
      </c>
      <c r="M298" s="4">
        <f t="shared" si="58"/>
        <v>-4.6532660091677547E-3</v>
      </c>
    </row>
    <row r="299" spans="1:13" x14ac:dyDescent="0.4">
      <c r="A299" s="1">
        <f t="shared" si="50"/>
        <v>14.850000000000076</v>
      </c>
      <c r="B299" s="1">
        <f t="shared" si="60"/>
        <v>2.2999999999998022E-4</v>
      </c>
      <c r="C299" s="1">
        <f t="shared" si="61"/>
        <v>4.7699999999999982E-3</v>
      </c>
      <c r="D299" s="1">
        <f t="shared" si="59"/>
        <v>0</v>
      </c>
      <c r="E299" s="1">
        <f t="shared" si="59"/>
        <v>0</v>
      </c>
      <c r="F299" s="1">
        <f t="shared" si="51"/>
        <v>2.4999999999999892E-3</v>
      </c>
      <c r="G299" s="4">
        <f t="shared" si="52"/>
        <v>-3.1622205196071729E-2</v>
      </c>
      <c r="H299" s="4">
        <f t="shared" si="53"/>
        <v>5.9329421188270226</v>
      </c>
      <c r="I299" s="3">
        <f t="shared" si="54"/>
        <v>339.93254350419255</v>
      </c>
      <c r="J299" s="2">
        <f t="shared" si="55"/>
        <v>0.9395602629829215</v>
      </c>
      <c r="K299" s="2">
        <f t="shared" si="56"/>
        <v>-0.34238357469870462</v>
      </c>
      <c r="L299" s="4">
        <f t="shared" si="57"/>
        <v>2.0718425481648799E-2</v>
      </c>
      <c r="M299" s="4">
        <f t="shared" si="58"/>
        <v>-4.6960639560050923E-3</v>
      </c>
    </row>
    <row r="300" spans="1:13" x14ac:dyDescent="0.4">
      <c r="A300" s="1">
        <f t="shared" si="50"/>
        <v>14.900000000000077</v>
      </c>
      <c r="B300" s="1">
        <f t="shared" si="60"/>
        <v>2.2999999999998022E-4</v>
      </c>
      <c r="C300" s="1">
        <f t="shared" si="61"/>
        <v>4.7699999999999982E-3</v>
      </c>
      <c r="D300" s="1">
        <f t="shared" si="59"/>
        <v>0</v>
      </c>
      <c r="E300" s="1">
        <f t="shared" si="59"/>
        <v>0</v>
      </c>
      <c r="F300" s="1">
        <f t="shared" si="51"/>
        <v>2.4999999999999892E-3</v>
      </c>
      <c r="G300" s="4">
        <f t="shared" si="52"/>
        <v>-3.1622205196071729E-2</v>
      </c>
      <c r="H300" s="4">
        <f t="shared" si="53"/>
        <v>5.9313610085672188</v>
      </c>
      <c r="I300" s="3">
        <f t="shared" si="54"/>
        <v>339.841952559361</v>
      </c>
      <c r="J300" s="2">
        <f t="shared" si="55"/>
        <v>0.93901774261808835</v>
      </c>
      <c r="K300" s="2">
        <f t="shared" si="56"/>
        <v>-0.34386869448734297</v>
      </c>
      <c r="L300" s="4">
        <f t="shared" si="57"/>
        <v>2.0835802699476061E-2</v>
      </c>
      <c r="M300" s="4">
        <f t="shared" si="58"/>
        <v>-4.7390475428160097E-3</v>
      </c>
    </row>
    <row r="301" spans="1:13" x14ac:dyDescent="0.4">
      <c r="A301" s="1">
        <f t="shared" si="50"/>
        <v>14.950000000000077</v>
      </c>
      <c r="B301" s="1">
        <f t="shared" si="60"/>
        <v>2.2999999999998022E-4</v>
      </c>
      <c r="C301" s="1">
        <f t="shared" si="61"/>
        <v>4.7699999999999982E-3</v>
      </c>
      <c r="D301" s="1">
        <f t="shared" si="59"/>
        <v>0</v>
      </c>
      <c r="E301" s="1">
        <f t="shared" si="59"/>
        <v>0</v>
      </c>
      <c r="F301" s="1">
        <f t="shared" si="51"/>
        <v>2.4999999999999892E-3</v>
      </c>
      <c r="G301" s="4">
        <f t="shared" si="52"/>
        <v>-3.1622205196071729E-2</v>
      </c>
      <c r="H301" s="4">
        <f t="shared" si="53"/>
        <v>5.929779898307415</v>
      </c>
      <c r="I301" s="3">
        <f t="shared" si="54"/>
        <v>339.7513616145294</v>
      </c>
      <c r="J301" s="2">
        <f t="shared" si="55"/>
        <v>0.93847287479422514</v>
      </c>
      <c r="K301" s="2">
        <f t="shared" si="56"/>
        <v>-0.34535295463548982</v>
      </c>
      <c r="L301" s="4">
        <f t="shared" si="57"/>
        <v>2.095311180882534E-2</v>
      </c>
      <c r="M301" s="4">
        <f t="shared" si="58"/>
        <v>-4.7822166621454458E-3</v>
      </c>
    </row>
    <row r="302" spans="1:13" x14ac:dyDescent="0.4">
      <c r="A302" s="1">
        <f t="shared" si="50"/>
        <v>15.000000000000078</v>
      </c>
      <c r="B302" s="1">
        <f t="shared" si="60"/>
        <v>2.2999999999998022E-4</v>
      </c>
      <c r="C302" s="1">
        <f t="shared" si="61"/>
        <v>4.7699999999999982E-3</v>
      </c>
      <c r="D302" s="1">
        <f t="shared" si="59"/>
        <v>0</v>
      </c>
      <c r="E302" s="1">
        <f t="shared" si="59"/>
        <v>0</v>
      </c>
      <c r="F302" s="1">
        <f t="shared" si="51"/>
        <v>2.4999999999999892E-3</v>
      </c>
      <c r="G302" s="4">
        <f t="shared" si="52"/>
        <v>-3.1622205196071729E-2</v>
      </c>
      <c r="H302" s="4">
        <f t="shared" si="53"/>
        <v>5.9281987880476112</v>
      </c>
      <c r="I302" s="3">
        <f t="shared" si="54"/>
        <v>339.66077066969774</v>
      </c>
      <c r="J302" s="2">
        <f t="shared" si="55"/>
        <v>0.93792566087345064</v>
      </c>
      <c r="K302" s="2">
        <f t="shared" si="56"/>
        <v>-0.34683635143263297</v>
      </c>
      <c r="L302" s="4">
        <f t="shared" si="57"/>
        <v>2.1070352516434521E-2</v>
      </c>
      <c r="M302" s="4">
        <f t="shared" si="58"/>
        <v>-4.8255712060745245E-3</v>
      </c>
    </row>
    <row r="303" spans="1:13" x14ac:dyDescent="0.4">
      <c r="A303" s="1">
        <f t="shared" si="50"/>
        <v>15.050000000000079</v>
      </c>
      <c r="B303" s="1">
        <f t="shared" si="60"/>
        <v>2.2999999999998022E-4</v>
      </c>
      <c r="C303" s="1">
        <f t="shared" si="61"/>
        <v>4.7699999999999982E-3</v>
      </c>
      <c r="D303" s="1">
        <f t="shared" si="59"/>
        <v>0</v>
      </c>
      <c r="E303" s="1">
        <f t="shared" si="59"/>
        <v>0</v>
      </c>
      <c r="F303" s="1">
        <f t="shared" si="51"/>
        <v>2.4999999999999892E-3</v>
      </c>
      <c r="G303" s="4">
        <f t="shared" si="52"/>
        <v>-3.1622205196071729E-2</v>
      </c>
      <c r="H303" s="4">
        <f t="shared" si="53"/>
        <v>5.9266176777878075</v>
      </c>
      <c r="I303" s="3">
        <f t="shared" si="54"/>
        <v>339.57017972486619</v>
      </c>
      <c r="J303" s="2">
        <f t="shared" si="55"/>
        <v>0.93737610222375123</v>
      </c>
      <c r="K303" s="2">
        <f t="shared" si="56"/>
        <v>-0.34831888117041193</v>
      </c>
      <c r="L303" s="4">
        <f t="shared" si="57"/>
        <v>2.1187524529212489E-2</v>
      </c>
      <c r="M303" s="4">
        <f t="shared" si="58"/>
        <v>-4.8691110662208254E-3</v>
      </c>
    </row>
    <row r="304" spans="1:13" x14ac:dyDescent="0.4">
      <c r="A304" s="1">
        <f t="shared" si="50"/>
        <v>15.10000000000008</v>
      </c>
      <c r="B304" s="1">
        <f t="shared" si="60"/>
        <v>2.2999999999998022E-4</v>
      </c>
      <c r="C304" s="1">
        <f t="shared" si="61"/>
        <v>4.7699999999999982E-3</v>
      </c>
      <c r="D304" s="1">
        <f t="shared" si="59"/>
        <v>0</v>
      </c>
      <c r="E304" s="1">
        <f t="shared" si="59"/>
        <v>0</v>
      </c>
      <c r="F304" s="1">
        <f t="shared" si="51"/>
        <v>2.4999999999999892E-3</v>
      </c>
      <c r="G304" s="4">
        <f t="shared" si="52"/>
        <v>-3.1622205196071729E-2</v>
      </c>
      <c r="H304" s="4">
        <f t="shared" si="53"/>
        <v>5.9250365675280037</v>
      </c>
      <c r="I304" s="3">
        <f t="shared" si="54"/>
        <v>339.47958878003459</v>
      </c>
      <c r="J304" s="2">
        <f t="shared" si="55"/>
        <v>0.93682420021897228</v>
      </c>
      <c r="K304" s="2">
        <f t="shared" si="56"/>
        <v>-0.34980054014264034</v>
      </c>
      <c r="L304" s="4">
        <f t="shared" si="57"/>
        <v>2.1304627554239858E-2</v>
      </c>
      <c r="M304" s="4">
        <f t="shared" si="58"/>
        <v>-4.912836133738655E-3</v>
      </c>
    </row>
    <row r="305" spans="1:13" x14ac:dyDescent="0.4">
      <c r="A305" s="1">
        <f t="shared" si="50"/>
        <v>15.15000000000008</v>
      </c>
      <c r="B305" s="1">
        <f t="shared" si="60"/>
        <v>2.2999999999998022E-4</v>
      </c>
      <c r="C305" s="1">
        <f t="shared" si="61"/>
        <v>4.7699999999999982E-3</v>
      </c>
      <c r="D305" s="1">
        <f t="shared" si="59"/>
        <v>0</v>
      </c>
      <c r="E305" s="1">
        <f t="shared" si="59"/>
        <v>0</v>
      </c>
      <c r="F305" s="1">
        <f t="shared" si="51"/>
        <v>2.4999999999999892E-3</v>
      </c>
      <c r="G305" s="4">
        <f t="shared" si="52"/>
        <v>-3.1622205196071729E-2</v>
      </c>
      <c r="H305" s="4">
        <f t="shared" si="53"/>
        <v>5.9234554572681999</v>
      </c>
      <c r="I305" s="3">
        <f t="shared" si="54"/>
        <v>339.38899783520299</v>
      </c>
      <c r="J305" s="2">
        <f t="shared" si="55"/>
        <v>0.93626995623881992</v>
      </c>
      <c r="K305" s="2">
        <f t="shared" si="56"/>
        <v>-0.3512813246453021</v>
      </c>
      <c r="L305" s="4">
        <f t="shared" si="57"/>
        <v>2.1421661298769712E-2</v>
      </c>
      <c r="M305" s="4">
        <f t="shared" si="58"/>
        <v>-4.9567462993193173E-3</v>
      </c>
    </row>
    <row r="306" spans="1:13" x14ac:dyDescent="0.4">
      <c r="A306" s="1">
        <f t="shared" si="50"/>
        <v>15.200000000000081</v>
      </c>
      <c r="B306" s="1">
        <f t="shared" si="60"/>
        <v>2.2999999999998022E-4</v>
      </c>
      <c r="C306" s="1">
        <f t="shared" si="61"/>
        <v>4.7699999999999982E-3</v>
      </c>
      <c r="D306" s="1">
        <f t="shared" si="59"/>
        <v>0</v>
      </c>
      <c r="E306" s="1">
        <f t="shared" si="59"/>
        <v>0</v>
      </c>
      <c r="F306" s="1">
        <f t="shared" si="51"/>
        <v>2.4999999999999892E-3</v>
      </c>
      <c r="G306" s="4">
        <f t="shared" si="52"/>
        <v>-3.1622205196071729E-2</v>
      </c>
      <c r="H306" s="4">
        <f t="shared" si="53"/>
        <v>5.9218743470083961</v>
      </c>
      <c r="I306" s="3">
        <f t="shared" si="54"/>
        <v>339.29840689037144</v>
      </c>
      <c r="J306" s="2">
        <f t="shared" si="55"/>
        <v>0.9357133716688526</v>
      </c>
      <c r="K306" s="2">
        <f t="shared" si="56"/>
        <v>-0.35276123097657386</v>
      </c>
      <c r="L306" s="4">
        <f t="shared" si="57"/>
        <v>2.1538625470228317E-2</v>
      </c>
      <c r="M306" s="4">
        <f t="shared" si="58"/>
        <v>-5.0008414531913887E-3</v>
      </c>
    </row>
    <row r="307" spans="1:13" x14ac:dyDescent="0.4">
      <c r="A307" s="1">
        <f t="shared" si="50"/>
        <v>15.250000000000082</v>
      </c>
      <c r="B307" s="1">
        <f t="shared" si="60"/>
        <v>2.2999999999998022E-4</v>
      </c>
      <c r="C307" s="1">
        <f t="shared" si="61"/>
        <v>4.7699999999999982E-3</v>
      </c>
      <c r="D307" s="1">
        <f t="shared" si="59"/>
        <v>0</v>
      </c>
      <c r="E307" s="1">
        <f t="shared" si="59"/>
        <v>0</v>
      </c>
      <c r="F307" s="1">
        <f t="shared" si="51"/>
        <v>2.4999999999999892E-3</v>
      </c>
      <c r="G307" s="4">
        <f t="shared" si="52"/>
        <v>-3.1622205196071729E-2</v>
      </c>
      <c r="H307" s="4">
        <f t="shared" si="53"/>
        <v>5.9202932367485923</v>
      </c>
      <c r="I307" s="3">
        <f t="shared" si="54"/>
        <v>339.20781594553983</v>
      </c>
      <c r="J307" s="2">
        <f t="shared" si="55"/>
        <v>0.9351544479004823</v>
      </c>
      <c r="K307" s="2">
        <f t="shared" si="56"/>
        <v>-0.35424025543682092</v>
      </c>
      <c r="L307" s="4">
        <f t="shared" si="57"/>
        <v>2.1655519776215878E-2</v>
      </c>
      <c r="M307" s="4">
        <f t="shared" si="58"/>
        <v>-5.0451214851209908E-3</v>
      </c>
    </row>
    <row r="308" spans="1:13" x14ac:dyDescent="0.4">
      <c r="A308" s="1">
        <f t="shared" si="50"/>
        <v>15.300000000000082</v>
      </c>
      <c r="B308" s="1">
        <f t="shared" si="60"/>
        <v>2.2999999999998022E-4</v>
      </c>
      <c r="C308" s="1">
        <f t="shared" si="61"/>
        <v>4.7699999999999982E-3</v>
      </c>
      <c r="D308" s="1">
        <f t="shared" si="59"/>
        <v>0</v>
      </c>
      <c r="E308" s="1">
        <f t="shared" si="59"/>
        <v>0</v>
      </c>
      <c r="F308" s="1">
        <f t="shared" si="51"/>
        <v>2.4999999999999892E-3</v>
      </c>
      <c r="G308" s="4">
        <f t="shared" si="52"/>
        <v>-3.1622205196071729E-2</v>
      </c>
      <c r="H308" s="4">
        <f t="shared" si="53"/>
        <v>5.9187121264887885</v>
      </c>
      <c r="I308" s="3">
        <f t="shared" si="54"/>
        <v>339.11722500070829</v>
      </c>
      <c r="J308" s="2">
        <f t="shared" si="55"/>
        <v>0.93459318633096644</v>
      </c>
      <c r="K308" s="2">
        <f t="shared" si="56"/>
        <v>-0.35571839432861985</v>
      </c>
      <c r="L308" s="4">
        <f t="shared" si="57"/>
        <v>2.1772343924507248E-2</v>
      </c>
      <c r="M308" s="4">
        <f t="shared" si="58"/>
        <v>-5.0895862844120678E-3</v>
      </c>
    </row>
    <row r="309" spans="1:13" x14ac:dyDescent="0.4">
      <c r="A309" s="1">
        <f t="shared" si="50"/>
        <v>15.350000000000083</v>
      </c>
      <c r="B309" s="1">
        <f t="shared" si="60"/>
        <v>2.2999999999998022E-4</v>
      </c>
      <c r="C309" s="1">
        <f t="shared" si="61"/>
        <v>4.7699999999999982E-3</v>
      </c>
      <c r="D309" s="1">
        <f t="shared" si="59"/>
        <v>0</v>
      </c>
      <c r="E309" s="1">
        <f t="shared" si="59"/>
        <v>0</v>
      </c>
      <c r="F309" s="1">
        <f t="shared" si="51"/>
        <v>2.4999999999999892E-3</v>
      </c>
      <c r="G309" s="4">
        <f t="shared" si="52"/>
        <v>-3.1622205196071729E-2</v>
      </c>
      <c r="H309" s="4">
        <f t="shared" si="53"/>
        <v>5.9171310162289847</v>
      </c>
      <c r="I309" s="3">
        <f t="shared" si="54"/>
        <v>339.02663405587663</v>
      </c>
      <c r="J309" s="2">
        <f t="shared" si="55"/>
        <v>0.9340295883634091</v>
      </c>
      <c r="K309" s="2">
        <f t="shared" si="56"/>
        <v>-0.35719564395675441</v>
      </c>
      <c r="L309" s="4">
        <f t="shared" si="57"/>
        <v>2.1889097623052675E-2</v>
      </c>
      <c r="M309" s="4">
        <f t="shared" si="58"/>
        <v>-5.134235739906662E-3</v>
      </c>
    </row>
    <row r="310" spans="1:13" x14ac:dyDescent="0.4">
      <c r="A310" s="1">
        <f t="shared" si="50"/>
        <v>15.400000000000084</v>
      </c>
      <c r="B310" s="1">
        <f t="shared" si="60"/>
        <v>2.2999999999998022E-4</v>
      </c>
      <c r="C310" s="1">
        <f t="shared" si="61"/>
        <v>4.7699999999999982E-3</v>
      </c>
      <c r="D310" s="1">
        <f t="shared" si="59"/>
        <v>0</v>
      </c>
      <c r="E310" s="1">
        <f t="shared" si="59"/>
        <v>0</v>
      </c>
      <c r="F310" s="1">
        <f t="shared" si="51"/>
        <v>2.4999999999999892E-3</v>
      </c>
      <c r="G310" s="4">
        <f t="shared" si="52"/>
        <v>-3.1622205196071729E-2</v>
      </c>
      <c r="H310" s="4">
        <f t="shared" si="53"/>
        <v>5.915549905969181</v>
      </c>
      <c r="I310" s="3">
        <f t="shared" si="54"/>
        <v>338.93604311104502</v>
      </c>
      <c r="J310" s="2">
        <f t="shared" si="55"/>
        <v>0.93346365540675291</v>
      </c>
      <c r="K310" s="2">
        <f t="shared" si="56"/>
        <v>-0.35867200062823806</v>
      </c>
      <c r="L310" s="4">
        <f t="shared" si="57"/>
        <v>2.2005780579978519E-2</v>
      </c>
      <c r="M310" s="4">
        <f t="shared" si="58"/>
        <v>-5.1790697399851917E-3</v>
      </c>
    </row>
    <row r="311" spans="1:13" x14ac:dyDescent="0.4">
      <c r="A311" s="1">
        <f t="shared" si="50"/>
        <v>15.450000000000085</v>
      </c>
      <c r="B311" s="1">
        <f t="shared" si="60"/>
        <v>2.2999999999998022E-4</v>
      </c>
      <c r="C311" s="1">
        <f t="shared" si="61"/>
        <v>4.7699999999999982E-3</v>
      </c>
      <c r="D311" s="1">
        <f t="shared" si="59"/>
        <v>0</v>
      </c>
      <c r="E311" s="1">
        <f t="shared" si="59"/>
        <v>0</v>
      </c>
      <c r="F311" s="1">
        <f t="shared" si="51"/>
        <v>2.4999999999999892E-3</v>
      </c>
      <c r="G311" s="4">
        <f t="shared" si="52"/>
        <v>-3.1622205196071729E-2</v>
      </c>
      <c r="H311" s="4">
        <f t="shared" si="53"/>
        <v>5.9139687957093772</v>
      </c>
      <c r="I311" s="3">
        <f t="shared" si="54"/>
        <v>338.84545216621348</v>
      </c>
      <c r="J311" s="2">
        <f t="shared" si="55"/>
        <v>0.93289538887578005</v>
      </c>
      <c r="K311" s="2">
        <f t="shared" si="56"/>
        <v>-0.36014746065230996</v>
      </c>
      <c r="L311" s="4">
        <f t="shared" si="57"/>
        <v>2.2122392503587992E-2</v>
      </c>
      <c r="M311" s="4">
        <f t="shared" si="58"/>
        <v>-5.22408817256673E-3</v>
      </c>
    </row>
    <row r="312" spans="1:13" x14ac:dyDescent="0.4">
      <c r="A312" s="1">
        <f t="shared" si="50"/>
        <v>15.500000000000085</v>
      </c>
      <c r="B312" s="1">
        <f t="shared" si="60"/>
        <v>2.2999999999998022E-4</v>
      </c>
      <c r="C312" s="1">
        <f t="shared" si="61"/>
        <v>4.7699999999999982E-3</v>
      </c>
      <c r="D312" s="1">
        <f t="shared" si="59"/>
        <v>0</v>
      </c>
      <c r="E312" s="1">
        <f t="shared" si="59"/>
        <v>0</v>
      </c>
      <c r="F312" s="1">
        <f t="shared" si="51"/>
        <v>2.4999999999999892E-3</v>
      </c>
      <c r="G312" s="4">
        <f t="shared" si="52"/>
        <v>-3.1622205196071729E-2</v>
      </c>
      <c r="H312" s="4">
        <f t="shared" si="53"/>
        <v>5.9123876854495734</v>
      </c>
      <c r="I312" s="3">
        <f t="shared" si="54"/>
        <v>338.75486122138187</v>
      </c>
      <c r="J312" s="2">
        <f t="shared" si="55"/>
        <v>0.93232479019110381</v>
      </c>
      <c r="K312" s="2">
        <f t="shared" si="56"/>
        <v>-0.36162202034045748</v>
      </c>
      <c r="L312" s="4">
        <f t="shared" si="57"/>
        <v>2.2238933102361878E-2</v>
      </c>
      <c r="M312" s="4">
        <f t="shared" si="58"/>
        <v>-5.2692909251092872E-3</v>
      </c>
    </row>
    <row r="313" spans="1:13" x14ac:dyDescent="0.4">
      <c r="A313" s="1">
        <f t="shared" si="50"/>
        <v>15.550000000000086</v>
      </c>
      <c r="B313" s="1">
        <f t="shared" si="60"/>
        <v>2.2999999999998022E-4</v>
      </c>
      <c r="C313" s="1">
        <f t="shared" si="61"/>
        <v>4.7699999999999982E-3</v>
      </c>
      <c r="D313" s="1">
        <f t="shared" si="59"/>
        <v>0</v>
      </c>
      <c r="E313" s="1">
        <f t="shared" si="59"/>
        <v>0</v>
      </c>
      <c r="F313" s="1">
        <f t="shared" si="51"/>
        <v>2.4999999999999892E-3</v>
      </c>
      <c r="G313" s="4">
        <f t="shared" si="52"/>
        <v>-3.1622205196071729E-2</v>
      </c>
      <c r="H313" s="4">
        <f t="shared" si="53"/>
        <v>5.9108065751897696</v>
      </c>
      <c r="I313" s="3">
        <f t="shared" si="54"/>
        <v>338.66427027655033</v>
      </c>
      <c r="J313" s="2">
        <f t="shared" si="55"/>
        <v>0.93175186077917049</v>
      </c>
      <c r="K313" s="2">
        <f t="shared" si="56"/>
        <v>-0.36309567600641207</v>
      </c>
      <c r="L313" s="4">
        <f t="shared" si="57"/>
        <v>2.2355402084959276E-2</v>
      </c>
      <c r="M313" s="4">
        <f t="shared" si="58"/>
        <v>-5.3146778846100886E-3</v>
      </c>
    </row>
    <row r="314" spans="1:13" x14ac:dyDescent="0.4">
      <c r="A314" s="1">
        <f t="shared" si="50"/>
        <v>15.600000000000087</v>
      </c>
      <c r="B314" s="1">
        <f t="shared" si="60"/>
        <v>2.2999999999998022E-4</v>
      </c>
      <c r="C314" s="1">
        <f t="shared" si="61"/>
        <v>4.7699999999999982E-3</v>
      </c>
      <c r="D314" s="1">
        <f t="shared" si="59"/>
        <v>0</v>
      </c>
      <c r="E314" s="1">
        <f t="shared" si="59"/>
        <v>0</v>
      </c>
      <c r="F314" s="1">
        <f t="shared" si="51"/>
        <v>2.4999999999999892E-3</v>
      </c>
      <c r="G314" s="4">
        <f t="shared" si="52"/>
        <v>-3.1622205196071729E-2</v>
      </c>
      <c r="H314" s="4">
        <f t="shared" si="53"/>
        <v>5.9092254649299658</v>
      </c>
      <c r="I314" s="3">
        <f t="shared" si="54"/>
        <v>338.57367933171872</v>
      </c>
      <c r="J314" s="2">
        <f t="shared" si="55"/>
        <v>0.93117660207225006</v>
      </c>
      <c r="K314" s="2">
        <f t="shared" si="56"/>
        <v>-0.36456842396617178</v>
      </c>
      <c r="L314" s="4">
        <f t="shared" si="57"/>
        <v>2.2471799160218308E-2</v>
      </c>
      <c r="M314" s="4">
        <f t="shared" si="58"/>
        <v>-5.3602489376058599E-3</v>
      </c>
    </row>
    <row r="315" spans="1:13" x14ac:dyDescent="0.4">
      <c r="A315" s="1">
        <f t="shared" si="50"/>
        <v>15.650000000000087</v>
      </c>
      <c r="B315" s="1">
        <f t="shared" si="60"/>
        <v>2.2999999999998022E-4</v>
      </c>
      <c r="C315" s="1">
        <f t="shared" si="61"/>
        <v>4.7699999999999982E-3</v>
      </c>
      <c r="D315" s="1">
        <f t="shared" si="59"/>
        <v>0</v>
      </c>
      <c r="E315" s="1">
        <f t="shared" si="59"/>
        <v>0</v>
      </c>
      <c r="F315" s="1">
        <f t="shared" si="51"/>
        <v>2.4999999999999892E-3</v>
      </c>
      <c r="G315" s="4">
        <f t="shared" si="52"/>
        <v>-3.1622205196071729E-2</v>
      </c>
      <c r="H315" s="4">
        <f t="shared" si="53"/>
        <v>5.907644354670162</v>
      </c>
      <c r="I315" s="3">
        <f t="shared" si="54"/>
        <v>338.48308838688712</v>
      </c>
      <c r="J315" s="2">
        <f t="shared" si="55"/>
        <v>0.9305990155084386</v>
      </c>
      <c r="K315" s="2">
        <f t="shared" si="56"/>
        <v>-0.36604026053799715</v>
      </c>
      <c r="L315" s="4">
        <f t="shared" si="57"/>
        <v>2.2588124037156862E-2</v>
      </c>
      <c r="M315" s="4">
        <f t="shared" si="58"/>
        <v>-5.4060039701731098E-3</v>
      </c>
    </row>
    <row r="316" spans="1:13" x14ac:dyDescent="0.4">
      <c r="A316" s="1">
        <f t="shared" si="50"/>
        <v>15.700000000000088</v>
      </c>
      <c r="B316" s="1">
        <f t="shared" si="60"/>
        <v>2.2999999999998022E-4</v>
      </c>
      <c r="C316" s="1">
        <f t="shared" si="61"/>
        <v>4.7699999999999982E-3</v>
      </c>
      <c r="D316" s="1">
        <f t="shared" si="59"/>
        <v>0</v>
      </c>
      <c r="E316" s="1">
        <f t="shared" si="59"/>
        <v>0</v>
      </c>
      <c r="F316" s="1">
        <f t="shared" si="51"/>
        <v>2.4999999999999892E-3</v>
      </c>
      <c r="G316" s="4">
        <f t="shared" si="52"/>
        <v>-3.1622205196071729E-2</v>
      </c>
      <c r="H316" s="4">
        <f t="shared" si="53"/>
        <v>5.9060632444103582</v>
      </c>
      <c r="I316" s="3">
        <f t="shared" si="54"/>
        <v>338.39249744205551</v>
      </c>
      <c r="J316" s="2">
        <f t="shared" si="55"/>
        <v>0.93001910253164854</v>
      </c>
      <c r="K316" s="2">
        <f t="shared" si="56"/>
        <v>-0.36751118204243394</v>
      </c>
      <c r="L316" s="4">
        <f t="shared" si="57"/>
        <v>2.2704376424973319E-2</v>
      </c>
      <c r="M316" s="4">
        <f t="shared" si="58"/>
        <v>-5.4519428679284136E-3</v>
      </c>
    </row>
    <row r="317" spans="1:13" x14ac:dyDescent="0.4">
      <c r="A317" s="1">
        <f t="shared" si="50"/>
        <v>15.750000000000089</v>
      </c>
      <c r="B317" s="1">
        <f t="shared" si="60"/>
        <v>2.2999999999998022E-4</v>
      </c>
      <c r="C317" s="1">
        <f t="shared" si="61"/>
        <v>4.7699999999999982E-3</v>
      </c>
      <c r="D317" s="1">
        <f t="shared" si="59"/>
        <v>0</v>
      </c>
      <c r="E317" s="1">
        <f t="shared" si="59"/>
        <v>0</v>
      </c>
      <c r="F317" s="1">
        <f t="shared" si="51"/>
        <v>2.4999999999999892E-3</v>
      </c>
      <c r="G317" s="4">
        <f t="shared" si="52"/>
        <v>-3.1622205196071729E-2</v>
      </c>
      <c r="H317" s="4">
        <f t="shared" si="53"/>
        <v>5.9044821341505545</v>
      </c>
      <c r="I317" s="3">
        <f t="shared" si="54"/>
        <v>338.30190649722391</v>
      </c>
      <c r="J317" s="2">
        <f t="shared" si="55"/>
        <v>0.92943686459161101</v>
      </c>
      <c r="K317" s="2">
        <f t="shared" si="56"/>
        <v>-0.36898118480230857</v>
      </c>
      <c r="L317" s="4">
        <f t="shared" si="57"/>
        <v>2.2820556033047269E-2</v>
      </c>
      <c r="M317" s="4">
        <f t="shared" si="58"/>
        <v>-5.4980655160287023E-3</v>
      </c>
    </row>
    <row r="318" spans="1:13" x14ac:dyDescent="0.4">
      <c r="A318" s="1">
        <f t="shared" si="50"/>
        <v>15.80000000000009</v>
      </c>
      <c r="B318" s="1">
        <f t="shared" si="60"/>
        <v>2.2999999999998022E-4</v>
      </c>
      <c r="C318" s="1">
        <f t="shared" si="61"/>
        <v>4.7699999999999982E-3</v>
      </c>
      <c r="D318" s="1">
        <f t="shared" si="59"/>
        <v>0</v>
      </c>
      <c r="E318" s="1">
        <f t="shared" si="59"/>
        <v>0</v>
      </c>
      <c r="F318" s="1">
        <f t="shared" si="51"/>
        <v>2.4999999999999892E-3</v>
      </c>
      <c r="G318" s="4">
        <f t="shared" si="52"/>
        <v>-3.1622205196071729E-2</v>
      </c>
      <c r="H318" s="4">
        <f t="shared" si="53"/>
        <v>5.9029010238907507</v>
      </c>
      <c r="I318" s="3">
        <f t="shared" si="54"/>
        <v>338.21131555239231</v>
      </c>
      <c r="J318" s="2">
        <f t="shared" si="55"/>
        <v>0.92885230314386658</v>
      </c>
      <c r="K318" s="2">
        <f t="shared" si="56"/>
        <v>-0.37045026514275115</v>
      </c>
      <c r="L318" s="4">
        <f t="shared" si="57"/>
        <v>2.293666257094025E-2</v>
      </c>
      <c r="M318" s="4">
        <f t="shared" si="58"/>
        <v>-5.544371799171546E-3</v>
      </c>
    </row>
    <row r="319" spans="1:13" x14ac:dyDescent="0.4">
      <c r="A319" s="1">
        <f t="shared" si="50"/>
        <v>15.85000000000009</v>
      </c>
      <c r="B319" s="1">
        <f t="shared" si="60"/>
        <v>2.2999999999998022E-4</v>
      </c>
      <c r="C319" s="1">
        <f t="shared" si="61"/>
        <v>4.7699999999999982E-3</v>
      </c>
      <c r="D319" s="1">
        <f t="shared" si="59"/>
        <v>0</v>
      </c>
      <c r="E319" s="1">
        <f t="shared" si="59"/>
        <v>0</v>
      </c>
      <c r="F319" s="1">
        <f t="shared" si="51"/>
        <v>2.4999999999999892E-3</v>
      </c>
      <c r="G319" s="4">
        <f t="shared" si="52"/>
        <v>-3.1622205196071729E-2</v>
      </c>
      <c r="H319" s="4">
        <f t="shared" si="53"/>
        <v>5.9013199136309469</v>
      </c>
      <c r="I319" s="3">
        <f t="shared" si="54"/>
        <v>338.12072460756076</v>
      </c>
      <c r="J319" s="2">
        <f t="shared" si="55"/>
        <v>0.92826541964976705</v>
      </c>
      <c r="K319" s="2">
        <f t="shared" si="56"/>
        <v>-0.37191841939119102</v>
      </c>
      <c r="L319" s="4">
        <f t="shared" si="57"/>
        <v>2.3052695748396471E-2</v>
      </c>
      <c r="M319" s="4">
        <f t="shared" si="58"/>
        <v>-5.5908616015954444E-3</v>
      </c>
    </row>
    <row r="320" spans="1:13" x14ac:dyDescent="0.4">
      <c r="A320" s="1">
        <f t="shared" si="50"/>
        <v>15.900000000000091</v>
      </c>
      <c r="B320" s="1">
        <f t="shared" si="60"/>
        <v>2.2999999999998022E-4</v>
      </c>
      <c r="C320" s="1">
        <f t="shared" si="61"/>
        <v>4.7699999999999982E-3</v>
      </c>
      <c r="D320" s="1">
        <f t="shared" si="59"/>
        <v>0</v>
      </c>
      <c r="E320" s="1">
        <f t="shared" si="59"/>
        <v>0</v>
      </c>
      <c r="F320" s="1">
        <f t="shared" si="51"/>
        <v>2.4999999999999892E-3</v>
      </c>
      <c r="G320" s="4">
        <f t="shared" si="52"/>
        <v>-3.1622205196071729E-2</v>
      </c>
      <c r="H320" s="4">
        <f t="shared" si="53"/>
        <v>5.8997388033711431</v>
      </c>
      <c r="I320" s="3">
        <f t="shared" si="54"/>
        <v>338.03013366272916</v>
      </c>
      <c r="J320" s="2">
        <f t="shared" si="55"/>
        <v>0.92767621557646662</v>
      </c>
      <c r="K320" s="2">
        <f t="shared" si="56"/>
        <v>-0.37338564387737916</v>
      </c>
      <c r="L320" s="4">
        <f t="shared" si="57"/>
        <v>2.3168655275343529E-2</v>
      </c>
      <c r="M320" s="4">
        <f t="shared" si="58"/>
        <v>-5.6375348070801167E-3</v>
      </c>
    </row>
    <row r="321" spans="1:13" x14ac:dyDescent="0.4">
      <c r="A321" s="1">
        <f t="shared" si="50"/>
        <v>15.950000000000092</v>
      </c>
      <c r="B321" s="1">
        <f t="shared" si="60"/>
        <v>2.2999999999998022E-4</v>
      </c>
      <c r="C321" s="1">
        <f t="shared" si="61"/>
        <v>4.7699999999999982E-3</v>
      </c>
      <c r="D321" s="1">
        <f t="shared" si="59"/>
        <v>0</v>
      </c>
      <c r="E321" s="1">
        <f t="shared" si="59"/>
        <v>0</v>
      </c>
      <c r="F321" s="1">
        <f t="shared" si="51"/>
        <v>2.4999999999999892E-3</v>
      </c>
      <c r="G321" s="4">
        <f t="shared" si="52"/>
        <v>-3.1622205196071729E-2</v>
      </c>
      <c r="H321" s="4">
        <f t="shared" si="53"/>
        <v>5.8981576931113393</v>
      </c>
      <c r="I321" s="3">
        <f t="shared" si="54"/>
        <v>337.93954271789761</v>
      </c>
      <c r="J321" s="2">
        <f t="shared" si="55"/>
        <v>0.92708469239692315</v>
      </c>
      <c r="K321" s="2">
        <f t="shared" si="56"/>
        <v>-0.37485193493338448</v>
      </c>
      <c r="L321" s="4">
        <f t="shared" si="57"/>
        <v>2.3284540861893143E-2</v>
      </c>
      <c r="M321" s="4">
        <f t="shared" si="58"/>
        <v>-5.6843912989467896E-3</v>
      </c>
    </row>
    <row r="322" spans="1:13" x14ac:dyDescent="0.4">
      <c r="A322" s="1">
        <f t="shared" si="50"/>
        <v>16.000000000000092</v>
      </c>
      <c r="B322" s="1">
        <f t="shared" si="60"/>
        <v>2.2999999999998022E-4</v>
      </c>
      <c r="C322" s="1">
        <f t="shared" si="61"/>
        <v>4.7699999999999982E-3</v>
      </c>
      <c r="D322" s="1">
        <f t="shared" si="59"/>
        <v>0</v>
      </c>
      <c r="E322" s="1">
        <f t="shared" si="59"/>
        <v>0</v>
      </c>
      <c r="F322" s="1">
        <f t="shared" si="51"/>
        <v>2.4999999999999892E-3</v>
      </c>
      <c r="G322" s="4">
        <f t="shared" si="52"/>
        <v>-3.1622205196071729E-2</v>
      </c>
      <c r="H322" s="4">
        <f t="shared" si="53"/>
        <v>5.8965765828515355</v>
      </c>
      <c r="I322" s="3">
        <f t="shared" si="54"/>
        <v>337.84895177306601</v>
      </c>
      <c r="J322" s="2">
        <f t="shared" si="55"/>
        <v>0.92649085158988964</v>
      </c>
      <c r="K322" s="2">
        <f t="shared" si="56"/>
        <v>-0.37631728889361582</v>
      </c>
      <c r="L322" s="4">
        <f t="shared" si="57"/>
        <v>2.3400352218341879E-2</v>
      </c>
      <c r="M322" s="4">
        <f t="shared" si="58"/>
        <v>-5.7314309600584911E-3</v>
      </c>
    </row>
    <row r="323" spans="1:13" x14ac:dyDescent="0.4">
      <c r="A323" s="1">
        <f t="shared" si="50"/>
        <v>16.050000000000093</v>
      </c>
      <c r="B323" s="1">
        <f t="shared" si="60"/>
        <v>2.2999999999998022E-4</v>
      </c>
      <c r="C323" s="1">
        <f t="shared" si="61"/>
        <v>4.7699999999999982E-3</v>
      </c>
      <c r="D323" s="1">
        <f t="shared" si="59"/>
        <v>0</v>
      </c>
      <c r="E323" s="1">
        <f t="shared" si="59"/>
        <v>0</v>
      </c>
      <c r="F323" s="1">
        <f t="shared" si="51"/>
        <v>2.4999999999999892E-3</v>
      </c>
      <c r="G323" s="4">
        <f t="shared" si="52"/>
        <v>-3.1622205196071729E-2</v>
      </c>
      <c r="H323" s="4">
        <f t="shared" si="53"/>
        <v>5.8949954725917317</v>
      </c>
      <c r="I323" s="3">
        <f t="shared" si="54"/>
        <v>337.75836082823434</v>
      </c>
      <c r="J323" s="2">
        <f t="shared" si="55"/>
        <v>0.92589469463991536</v>
      </c>
      <c r="K323" s="2">
        <f t="shared" si="56"/>
        <v>-0.37778170209481815</v>
      </c>
      <c r="L323" s="4">
        <f t="shared" si="57"/>
        <v>2.3516089055171868E-2</v>
      </c>
      <c r="M323" s="4">
        <f t="shared" si="58"/>
        <v>-5.7786536728203428E-3</v>
      </c>
    </row>
    <row r="324" spans="1:13" x14ac:dyDescent="0.4">
      <c r="A324" s="1">
        <f t="shared" ref="A324:A387" si="62">A323+$P$3</f>
        <v>16.100000000000094</v>
      </c>
      <c r="B324" s="1">
        <f t="shared" si="60"/>
        <v>2.2999999999998022E-4</v>
      </c>
      <c r="C324" s="1">
        <f t="shared" si="61"/>
        <v>4.7699999999999982E-3</v>
      </c>
      <c r="D324" s="1">
        <f t="shared" si="59"/>
        <v>0</v>
      </c>
      <c r="E324" s="1">
        <f t="shared" si="59"/>
        <v>0</v>
      </c>
      <c r="F324" s="1">
        <f t="shared" ref="F324:F387" si="63">(B324+C324)/2</f>
        <v>2.4999999999999892E-3</v>
      </c>
      <c r="G324" s="4">
        <f t="shared" ref="G324:G387" si="64">(B324-C324)/R$3</f>
        <v>-3.1622205196071729E-2</v>
      </c>
      <c r="H324" s="4">
        <f t="shared" ref="H324:H387" si="65">H323+G324*P$3</f>
        <v>5.8934143623319279</v>
      </c>
      <c r="I324" s="3">
        <f t="shared" ref="I324:I387" si="66">H324*180/PI()</f>
        <v>337.6677698834028</v>
      </c>
      <c r="J324" s="2">
        <f t="shared" ref="J324:J387" si="67">COS((H324+H323)/2)</f>
        <v>0.92529622303733716</v>
      </c>
      <c r="K324" s="2">
        <f t="shared" ref="K324:K387" si="68">SIN((H324+H323)/2)</f>
        <v>-0.37924517087609483</v>
      </c>
      <c r="L324" s="4">
        <f t="shared" ref="L324:L387" si="69">L323+F324*P$3*J324</f>
        <v>2.3631751083051534E-2</v>
      </c>
      <c r="M324" s="4">
        <f t="shared" ref="M324:M387" si="70">M323+F324*P$3*K324</f>
        <v>-5.8260593191798542E-3</v>
      </c>
    </row>
    <row r="325" spans="1:13" x14ac:dyDescent="0.4">
      <c r="A325" s="1">
        <f t="shared" si="62"/>
        <v>16.150000000000095</v>
      </c>
      <c r="B325" s="1">
        <f t="shared" si="60"/>
        <v>2.2999999999998022E-4</v>
      </c>
      <c r="C325" s="1">
        <f t="shared" si="61"/>
        <v>4.7699999999999982E-3</v>
      </c>
      <c r="D325" s="1">
        <f t="shared" ref="D325:E388" si="71">(B325-B324)/$P$3</f>
        <v>0</v>
      </c>
      <c r="E325" s="1">
        <f t="shared" si="71"/>
        <v>0</v>
      </c>
      <c r="F325" s="1">
        <f t="shared" si="63"/>
        <v>2.4999999999999892E-3</v>
      </c>
      <c r="G325" s="4">
        <f t="shared" si="64"/>
        <v>-3.1622205196071729E-2</v>
      </c>
      <c r="H325" s="4">
        <f t="shared" si="65"/>
        <v>5.8918332520721242</v>
      </c>
      <c r="I325" s="3">
        <f t="shared" si="66"/>
        <v>337.57717893857119</v>
      </c>
      <c r="J325" s="2">
        <f t="shared" si="67"/>
        <v>0.92469543827828116</v>
      </c>
      <c r="K325" s="2">
        <f t="shared" si="68"/>
        <v>-0.38070769157890361</v>
      </c>
      <c r="L325" s="4">
        <f t="shared" si="69"/>
        <v>2.3747338012836319E-2</v>
      </c>
      <c r="M325" s="4">
        <f t="shared" si="70"/>
        <v>-5.8736477806272166E-3</v>
      </c>
    </row>
    <row r="326" spans="1:13" x14ac:dyDescent="0.4">
      <c r="A326" s="1">
        <f t="shared" si="62"/>
        <v>16.200000000000095</v>
      </c>
      <c r="B326" s="1">
        <f t="shared" si="60"/>
        <v>2.2999999999998022E-4</v>
      </c>
      <c r="C326" s="1">
        <f t="shared" si="61"/>
        <v>4.7699999999999982E-3</v>
      </c>
      <c r="D326" s="1">
        <f t="shared" si="71"/>
        <v>0</v>
      </c>
      <c r="E326" s="1">
        <f t="shared" si="71"/>
        <v>0</v>
      </c>
      <c r="F326" s="1">
        <f t="shared" si="63"/>
        <v>2.4999999999999892E-3</v>
      </c>
      <c r="G326" s="4">
        <f t="shared" si="64"/>
        <v>-3.1622205196071729E-2</v>
      </c>
      <c r="H326" s="4">
        <f t="shared" si="65"/>
        <v>5.8902521418123204</v>
      </c>
      <c r="I326" s="3">
        <f t="shared" si="66"/>
        <v>337.48658799373959</v>
      </c>
      <c r="J326" s="2">
        <f t="shared" si="67"/>
        <v>0.92409234186465306</v>
      </c>
      <c r="K326" s="2">
        <f t="shared" si="68"/>
        <v>-0.38216926054707895</v>
      </c>
      <c r="L326" s="4">
        <f t="shared" si="69"/>
        <v>2.3862849555569401E-2</v>
      </c>
      <c r="M326" s="4">
        <f t="shared" si="70"/>
        <v>-5.9214189381956014E-3</v>
      </c>
    </row>
    <row r="327" spans="1:13" x14ac:dyDescent="0.4">
      <c r="A327" s="1">
        <f t="shared" si="62"/>
        <v>16.250000000000096</v>
      </c>
      <c r="B327" s="1">
        <f t="shared" ref="B327:B390" si="72">B326</f>
        <v>2.2999999999998022E-4</v>
      </c>
      <c r="C327" s="1">
        <f t="shared" ref="C327:C390" si="73">C326</f>
        <v>4.7699999999999982E-3</v>
      </c>
      <c r="D327" s="1">
        <f t="shared" si="71"/>
        <v>0</v>
      </c>
      <c r="E327" s="1">
        <f t="shared" si="71"/>
        <v>0</v>
      </c>
      <c r="F327" s="1">
        <f t="shared" si="63"/>
        <v>2.4999999999999892E-3</v>
      </c>
      <c r="G327" s="4">
        <f t="shared" si="64"/>
        <v>-3.1622205196071729E-2</v>
      </c>
      <c r="H327" s="4">
        <f t="shared" si="65"/>
        <v>5.8886710315525166</v>
      </c>
      <c r="I327" s="3">
        <f t="shared" si="66"/>
        <v>337.39599704890804</v>
      </c>
      <c r="J327" s="2">
        <f t="shared" si="67"/>
        <v>0.92348693530414072</v>
      </c>
      <c r="K327" s="2">
        <f t="shared" si="68"/>
        <v>-0.38362987412682786</v>
      </c>
      <c r="L327" s="4">
        <f t="shared" si="69"/>
        <v>2.3978285422482419E-2</v>
      </c>
      <c r="M327" s="4">
        <f t="shared" si="70"/>
        <v>-5.9693726724614543E-3</v>
      </c>
    </row>
    <row r="328" spans="1:13" x14ac:dyDescent="0.4">
      <c r="A328" s="1">
        <f t="shared" si="62"/>
        <v>16.300000000000097</v>
      </c>
      <c r="B328" s="1">
        <f t="shared" si="72"/>
        <v>2.2999999999998022E-4</v>
      </c>
      <c r="C328" s="1">
        <f t="shared" si="73"/>
        <v>4.7699999999999982E-3</v>
      </c>
      <c r="D328" s="1">
        <f t="shared" si="71"/>
        <v>0</v>
      </c>
      <c r="E328" s="1">
        <f t="shared" si="71"/>
        <v>0</v>
      </c>
      <c r="F328" s="1">
        <f t="shared" si="63"/>
        <v>2.4999999999999892E-3</v>
      </c>
      <c r="G328" s="4">
        <f t="shared" si="64"/>
        <v>-3.1622205196071729E-2</v>
      </c>
      <c r="H328" s="4">
        <f t="shared" si="65"/>
        <v>5.8870899212927128</v>
      </c>
      <c r="I328" s="3">
        <f t="shared" si="66"/>
        <v>337.30540610407644</v>
      </c>
      <c r="J328" s="2">
        <f t="shared" si="67"/>
        <v>0.92287922011020407</v>
      </c>
      <c r="K328" s="2">
        <f t="shared" si="68"/>
        <v>-0.38508952866675245</v>
      </c>
      <c r="L328" s="4">
        <f t="shared" si="69"/>
        <v>2.4093645324996193E-2</v>
      </c>
      <c r="M328" s="4">
        <f t="shared" si="70"/>
        <v>-6.0175088635447977E-3</v>
      </c>
    </row>
    <row r="329" spans="1:13" x14ac:dyDescent="0.4">
      <c r="A329" s="1">
        <f t="shared" si="62"/>
        <v>16.350000000000097</v>
      </c>
      <c r="B329" s="1">
        <f t="shared" si="72"/>
        <v>2.2999999999998022E-4</v>
      </c>
      <c r="C329" s="1">
        <f t="shared" si="73"/>
        <v>4.7699999999999982E-3</v>
      </c>
      <c r="D329" s="1">
        <f t="shared" si="71"/>
        <v>0</v>
      </c>
      <c r="E329" s="1">
        <f t="shared" si="71"/>
        <v>0</v>
      </c>
      <c r="F329" s="1">
        <f t="shared" si="63"/>
        <v>2.4999999999999892E-3</v>
      </c>
      <c r="G329" s="4">
        <f t="shared" si="64"/>
        <v>-3.1622205196071729E-2</v>
      </c>
      <c r="H329" s="4">
        <f t="shared" si="65"/>
        <v>5.885508811032909</v>
      </c>
      <c r="I329" s="3">
        <f t="shared" si="66"/>
        <v>337.21481515924489</v>
      </c>
      <c r="J329" s="2">
        <f t="shared" si="67"/>
        <v>0.92226919780207717</v>
      </c>
      <c r="K329" s="2">
        <f t="shared" si="68"/>
        <v>-0.38654822051784571</v>
      </c>
      <c r="L329" s="4">
        <f t="shared" si="69"/>
        <v>2.4208928974721454E-2</v>
      </c>
      <c r="M329" s="4">
        <f t="shared" si="70"/>
        <v>-6.0658273911095278E-3</v>
      </c>
    </row>
    <row r="330" spans="1:13" x14ac:dyDescent="0.4">
      <c r="A330" s="1">
        <f t="shared" si="62"/>
        <v>16.400000000000098</v>
      </c>
      <c r="B330" s="1">
        <f t="shared" si="72"/>
        <v>2.2999999999998022E-4</v>
      </c>
      <c r="C330" s="1">
        <f t="shared" si="73"/>
        <v>4.7699999999999982E-3</v>
      </c>
      <c r="D330" s="1">
        <f t="shared" si="71"/>
        <v>0</v>
      </c>
      <c r="E330" s="1">
        <f t="shared" si="71"/>
        <v>0</v>
      </c>
      <c r="F330" s="1">
        <f t="shared" si="63"/>
        <v>2.4999999999999892E-3</v>
      </c>
      <c r="G330" s="4">
        <f t="shared" si="64"/>
        <v>-3.1622205196071729E-2</v>
      </c>
      <c r="H330" s="4">
        <f t="shared" si="65"/>
        <v>5.8839277007731052</v>
      </c>
      <c r="I330" s="3">
        <f t="shared" si="66"/>
        <v>337.12422421441323</v>
      </c>
      <c r="J330" s="2">
        <f t="shared" si="67"/>
        <v>0.92165686990475904</v>
      </c>
      <c r="K330" s="2">
        <f t="shared" si="68"/>
        <v>-0.38800594603351385</v>
      </c>
      <c r="L330" s="4">
        <f t="shared" si="69"/>
        <v>2.4324136083459548E-2</v>
      </c>
      <c r="M330" s="4">
        <f t="shared" si="70"/>
        <v>-6.1143281343637168E-3</v>
      </c>
    </row>
    <row r="331" spans="1:13" x14ac:dyDescent="0.4">
      <c r="A331" s="1">
        <f t="shared" si="62"/>
        <v>16.450000000000099</v>
      </c>
      <c r="B331" s="1">
        <f t="shared" si="72"/>
        <v>2.2999999999998022E-4</v>
      </c>
      <c r="C331" s="1">
        <f t="shared" si="73"/>
        <v>4.7699999999999982E-3</v>
      </c>
      <c r="D331" s="1">
        <f t="shared" si="71"/>
        <v>0</v>
      </c>
      <c r="E331" s="1">
        <f t="shared" si="71"/>
        <v>0</v>
      </c>
      <c r="F331" s="1">
        <f t="shared" si="63"/>
        <v>2.4999999999999892E-3</v>
      </c>
      <c r="G331" s="4">
        <f t="shared" si="64"/>
        <v>-3.1622205196071729E-2</v>
      </c>
      <c r="H331" s="4">
        <f t="shared" si="65"/>
        <v>5.8823465905133014</v>
      </c>
      <c r="I331" s="3">
        <f t="shared" si="66"/>
        <v>337.03363326958163</v>
      </c>
      <c r="J331" s="2">
        <f t="shared" si="67"/>
        <v>0.92104223794901519</v>
      </c>
      <c r="K331" s="2">
        <f t="shared" si="68"/>
        <v>-0.38946270156957224</v>
      </c>
      <c r="L331" s="4">
        <f t="shared" si="69"/>
        <v>2.4439266363203174E-2</v>
      </c>
      <c r="M331" s="4">
        <f t="shared" si="70"/>
        <v>-6.1630109720599135E-3</v>
      </c>
    </row>
    <row r="332" spans="1:13" x14ac:dyDescent="0.4">
      <c r="A332" s="1">
        <f t="shared" si="62"/>
        <v>16.500000000000099</v>
      </c>
      <c r="B332" s="1">
        <f t="shared" si="72"/>
        <v>2.2999999999998022E-4</v>
      </c>
      <c r="C332" s="1">
        <f t="shared" si="73"/>
        <v>4.7699999999999982E-3</v>
      </c>
      <c r="D332" s="1">
        <f t="shared" si="71"/>
        <v>0</v>
      </c>
      <c r="E332" s="1">
        <f t="shared" si="71"/>
        <v>0</v>
      </c>
      <c r="F332" s="1">
        <f t="shared" si="63"/>
        <v>2.4999999999999892E-3</v>
      </c>
      <c r="G332" s="4">
        <f t="shared" si="64"/>
        <v>-3.1622205196071729E-2</v>
      </c>
      <c r="H332" s="4">
        <f t="shared" si="65"/>
        <v>5.8807654802534977</v>
      </c>
      <c r="I332" s="3">
        <f t="shared" si="66"/>
        <v>336.94304232475008</v>
      </c>
      <c r="J332" s="2">
        <f t="shared" si="67"/>
        <v>0.92042530347136819</v>
      </c>
      <c r="K332" s="2">
        <f t="shared" si="68"/>
        <v>-0.39091848348426772</v>
      </c>
      <c r="L332" s="4">
        <f t="shared" si="69"/>
        <v>2.4554319526137094E-2</v>
      </c>
      <c r="M332" s="4">
        <f t="shared" si="70"/>
        <v>-6.2118757824954464E-3</v>
      </c>
    </row>
    <row r="333" spans="1:13" x14ac:dyDescent="0.4">
      <c r="A333" s="1">
        <f t="shared" si="62"/>
        <v>16.5500000000001</v>
      </c>
      <c r="B333" s="1">
        <f t="shared" si="72"/>
        <v>2.2999999999998022E-4</v>
      </c>
      <c r="C333" s="1">
        <f t="shared" si="73"/>
        <v>4.7699999999999982E-3</v>
      </c>
      <c r="D333" s="1">
        <f t="shared" si="71"/>
        <v>0</v>
      </c>
      <c r="E333" s="1">
        <f t="shared" si="71"/>
        <v>0</v>
      </c>
      <c r="F333" s="1">
        <f t="shared" si="63"/>
        <v>2.4999999999999892E-3</v>
      </c>
      <c r="G333" s="4">
        <f t="shared" si="64"/>
        <v>-3.1622205196071729E-2</v>
      </c>
      <c r="H333" s="4">
        <f t="shared" si="65"/>
        <v>5.8791843699936939</v>
      </c>
      <c r="I333" s="3">
        <f t="shared" si="66"/>
        <v>336.85245137991848</v>
      </c>
      <c r="J333" s="2">
        <f t="shared" si="67"/>
        <v>0.9198060680140997</v>
      </c>
      <c r="K333" s="2">
        <f t="shared" si="68"/>
        <v>-0.39237328813827449</v>
      </c>
      <c r="L333" s="4">
        <f t="shared" si="69"/>
        <v>2.4669295284638855E-2</v>
      </c>
      <c r="M333" s="4">
        <f t="shared" si="70"/>
        <v>-6.2609224435127304E-3</v>
      </c>
    </row>
    <row r="334" spans="1:13" x14ac:dyDescent="0.4">
      <c r="A334" s="1">
        <f t="shared" si="62"/>
        <v>16.600000000000101</v>
      </c>
      <c r="B334" s="1">
        <f t="shared" si="72"/>
        <v>2.2999999999998022E-4</v>
      </c>
      <c r="C334" s="1">
        <f t="shared" si="73"/>
        <v>4.7699999999999982E-3</v>
      </c>
      <c r="D334" s="1">
        <f t="shared" si="71"/>
        <v>0</v>
      </c>
      <c r="E334" s="1">
        <f t="shared" si="71"/>
        <v>0</v>
      </c>
      <c r="F334" s="1">
        <f t="shared" si="63"/>
        <v>2.4999999999999892E-3</v>
      </c>
      <c r="G334" s="4">
        <f t="shared" si="64"/>
        <v>-3.1622205196071729E-2</v>
      </c>
      <c r="H334" s="4">
        <f t="shared" si="65"/>
        <v>5.8776032597338901</v>
      </c>
      <c r="I334" s="3">
        <f t="shared" si="66"/>
        <v>336.76186043508693</v>
      </c>
      <c r="J334" s="2">
        <f t="shared" si="67"/>
        <v>0.91918453312524062</v>
      </c>
      <c r="K334" s="2">
        <f t="shared" si="68"/>
        <v>-0.39382711189471642</v>
      </c>
      <c r="L334" s="4">
        <f t="shared" si="69"/>
        <v>2.4784193351279508E-2</v>
      </c>
      <c r="M334" s="4">
        <f t="shared" si="70"/>
        <v>-6.3101508324995698E-3</v>
      </c>
    </row>
    <row r="335" spans="1:13" x14ac:dyDescent="0.4">
      <c r="A335" s="1">
        <f t="shared" si="62"/>
        <v>16.650000000000102</v>
      </c>
      <c r="B335" s="1">
        <f t="shared" si="72"/>
        <v>2.2999999999998022E-4</v>
      </c>
      <c r="C335" s="1">
        <f t="shared" si="73"/>
        <v>4.7699999999999982E-3</v>
      </c>
      <c r="D335" s="1">
        <f t="shared" si="71"/>
        <v>0</v>
      </c>
      <c r="E335" s="1">
        <f t="shared" si="71"/>
        <v>0</v>
      </c>
      <c r="F335" s="1">
        <f t="shared" si="63"/>
        <v>2.4999999999999892E-3</v>
      </c>
      <c r="G335" s="4">
        <f t="shared" si="64"/>
        <v>-3.1622205196071729E-2</v>
      </c>
      <c r="H335" s="4">
        <f t="shared" si="65"/>
        <v>5.8760221494740863</v>
      </c>
      <c r="I335" s="3">
        <f t="shared" si="66"/>
        <v>336.67126949025533</v>
      </c>
      <c r="J335" s="2">
        <f t="shared" si="67"/>
        <v>0.91856070035857307</v>
      </c>
      <c r="K335" s="2">
        <f t="shared" si="68"/>
        <v>-0.39527995111916286</v>
      </c>
      <c r="L335" s="4">
        <f t="shared" si="69"/>
        <v>2.4899013438824329E-2</v>
      </c>
      <c r="M335" s="4">
        <f t="shared" si="70"/>
        <v>-6.3595608263894649E-3</v>
      </c>
    </row>
    <row r="336" spans="1:13" x14ac:dyDescent="0.4">
      <c r="A336" s="1">
        <f t="shared" si="62"/>
        <v>16.700000000000102</v>
      </c>
      <c r="B336" s="1">
        <f t="shared" si="72"/>
        <v>2.2999999999998022E-4</v>
      </c>
      <c r="C336" s="1">
        <f t="shared" si="73"/>
        <v>4.7699999999999982E-3</v>
      </c>
      <c r="D336" s="1">
        <f t="shared" si="71"/>
        <v>0</v>
      </c>
      <c r="E336" s="1">
        <f t="shared" si="71"/>
        <v>0</v>
      </c>
      <c r="F336" s="1">
        <f t="shared" si="63"/>
        <v>2.4999999999999892E-3</v>
      </c>
      <c r="G336" s="4">
        <f t="shared" si="64"/>
        <v>-3.1622205196071729E-2</v>
      </c>
      <c r="H336" s="4">
        <f t="shared" si="65"/>
        <v>5.8744410392142825</v>
      </c>
      <c r="I336" s="3">
        <f t="shared" si="66"/>
        <v>336.58067854542372</v>
      </c>
      <c r="J336" s="2">
        <f t="shared" si="67"/>
        <v>0.91793457127362088</v>
      </c>
      <c r="K336" s="2">
        <f t="shared" si="68"/>
        <v>-0.39673180217965115</v>
      </c>
      <c r="L336" s="4">
        <f t="shared" si="69"/>
        <v>2.5013755260233531E-2</v>
      </c>
      <c r="M336" s="4">
        <f t="shared" si="70"/>
        <v>-6.4091523016619207E-3</v>
      </c>
    </row>
    <row r="337" spans="1:13" x14ac:dyDescent="0.4">
      <c r="A337" s="1">
        <f t="shared" si="62"/>
        <v>16.750000000000103</v>
      </c>
      <c r="B337" s="1">
        <f t="shared" si="72"/>
        <v>2.2999999999998022E-4</v>
      </c>
      <c r="C337" s="1">
        <f t="shared" si="73"/>
        <v>4.7699999999999982E-3</v>
      </c>
      <c r="D337" s="1">
        <f t="shared" si="71"/>
        <v>0</v>
      </c>
      <c r="E337" s="1">
        <f t="shared" si="71"/>
        <v>0</v>
      </c>
      <c r="F337" s="1">
        <f t="shared" si="63"/>
        <v>2.4999999999999892E-3</v>
      </c>
      <c r="G337" s="4">
        <f t="shared" si="64"/>
        <v>-3.1622205196071729E-2</v>
      </c>
      <c r="H337" s="4">
        <f t="shared" si="65"/>
        <v>5.8728599289544787</v>
      </c>
      <c r="I337" s="3">
        <f t="shared" si="66"/>
        <v>336.49008760059212</v>
      </c>
      <c r="J337" s="2">
        <f t="shared" si="67"/>
        <v>0.91730614743565131</v>
      </c>
      <c r="K337" s="2">
        <f t="shared" si="68"/>
        <v>-0.39818266144668224</v>
      </c>
      <c r="L337" s="4">
        <f t="shared" si="69"/>
        <v>2.5128418528662988E-2</v>
      </c>
      <c r="M337" s="4">
        <f t="shared" si="70"/>
        <v>-6.4589251343427556E-3</v>
      </c>
    </row>
    <row r="338" spans="1:13" x14ac:dyDescent="0.4">
      <c r="A338" s="1">
        <f t="shared" si="62"/>
        <v>16.800000000000104</v>
      </c>
      <c r="B338" s="1">
        <f t="shared" si="72"/>
        <v>2.2999999999998022E-4</v>
      </c>
      <c r="C338" s="1">
        <f t="shared" si="73"/>
        <v>4.7699999999999982E-3</v>
      </c>
      <c r="D338" s="1">
        <f t="shared" si="71"/>
        <v>0</v>
      </c>
      <c r="E338" s="1">
        <f t="shared" si="71"/>
        <v>0</v>
      </c>
      <c r="F338" s="1">
        <f t="shared" si="63"/>
        <v>2.4999999999999892E-3</v>
      </c>
      <c r="G338" s="4">
        <f t="shared" si="64"/>
        <v>-3.1622205196071729E-2</v>
      </c>
      <c r="H338" s="4">
        <f t="shared" si="65"/>
        <v>5.8712788186946749</v>
      </c>
      <c r="I338" s="3">
        <f t="shared" si="66"/>
        <v>336.39949665576052</v>
      </c>
      <c r="J338" s="2">
        <f t="shared" si="67"/>
        <v>0.91667543041566546</v>
      </c>
      <c r="K338" s="2">
        <f t="shared" si="68"/>
        <v>-0.399632525293243</v>
      </c>
      <c r="L338" s="4">
        <f t="shared" si="69"/>
        <v>2.5243002957464945E-2</v>
      </c>
      <c r="M338" s="4">
        <f t="shared" si="70"/>
        <v>-6.508879200004411E-3</v>
      </c>
    </row>
    <row r="339" spans="1:13" x14ac:dyDescent="0.4">
      <c r="A339" s="1">
        <f t="shared" si="62"/>
        <v>16.850000000000104</v>
      </c>
      <c r="B339" s="1">
        <f t="shared" si="72"/>
        <v>2.2999999999998022E-4</v>
      </c>
      <c r="C339" s="1">
        <f t="shared" si="73"/>
        <v>4.7699999999999982E-3</v>
      </c>
      <c r="D339" s="1">
        <f t="shared" si="71"/>
        <v>0</v>
      </c>
      <c r="E339" s="1">
        <f t="shared" si="71"/>
        <v>0</v>
      </c>
      <c r="F339" s="1">
        <f t="shared" si="63"/>
        <v>2.4999999999999892E-3</v>
      </c>
      <c r="G339" s="4">
        <f t="shared" si="64"/>
        <v>-3.1622205196071729E-2</v>
      </c>
      <c r="H339" s="4">
        <f t="shared" si="65"/>
        <v>5.8696977084348712</v>
      </c>
      <c r="I339" s="3">
        <f t="shared" si="66"/>
        <v>336.30890571092891</v>
      </c>
      <c r="J339" s="2">
        <f t="shared" si="67"/>
        <v>0.91604242179039985</v>
      </c>
      <c r="K339" s="2">
        <f t="shared" si="68"/>
        <v>-0.40108139009480243</v>
      </c>
      <c r="L339" s="4">
        <f t="shared" si="69"/>
        <v>2.5357508260188743E-2</v>
      </c>
      <c r="M339" s="4">
        <f t="shared" si="70"/>
        <v>-6.5590143737662612E-3</v>
      </c>
    </row>
    <row r="340" spans="1:13" x14ac:dyDescent="0.4">
      <c r="A340" s="1">
        <f t="shared" si="62"/>
        <v>16.900000000000105</v>
      </c>
      <c r="B340" s="1">
        <f t="shared" si="72"/>
        <v>2.2999999999998022E-4</v>
      </c>
      <c r="C340" s="1">
        <f t="shared" si="73"/>
        <v>4.7699999999999982E-3</v>
      </c>
      <c r="D340" s="1">
        <f t="shared" si="71"/>
        <v>0</v>
      </c>
      <c r="E340" s="1">
        <f t="shared" si="71"/>
        <v>0</v>
      </c>
      <c r="F340" s="1">
        <f t="shared" si="63"/>
        <v>2.4999999999999892E-3</v>
      </c>
      <c r="G340" s="4">
        <f t="shared" si="64"/>
        <v>-3.1622205196071729E-2</v>
      </c>
      <c r="H340" s="4">
        <f t="shared" si="65"/>
        <v>5.8681165981750674</v>
      </c>
      <c r="I340" s="3">
        <f t="shared" si="66"/>
        <v>336.21831476609736</v>
      </c>
      <c r="J340" s="2">
        <f t="shared" si="67"/>
        <v>0.91540712314231731</v>
      </c>
      <c r="K340" s="2">
        <f t="shared" si="68"/>
        <v>-0.40252925222933333</v>
      </c>
      <c r="L340" s="4">
        <f t="shared" si="69"/>
        <v>2.5471934150581532E-2</v>
      </c>
      <c r="M340" s="4">
        <f t="shared" si="70"/>
        <v>-6.6093305302949278E-3</v>
      </c>
    </row>
    <row r="341" spans="1:13" x14ac:dyDescent="0.4">
      <c r="A341" s="1">
        <f t="shared" si="62"/>
        <v>16.950000000000106</v>
      </c>
      <c r="B341" s="1">
        <f t="shared" si="72"/>
        <v>2.2999999999998022E-4</v>
      </c>
      <c r="C341" s="1">
        <f t="shared" si="73"/>
        <v>4.7699999999999982E-3</v>
      </c>
      <c r="D341" s="1">
        <f t="shared" si="71"/>
        <v>0</v>
      </c>
      <c r="E341" s="1">
        <f t="shared" si="71"/>
        <v>0</v>
      </c>
      <c r="F341" s="1">
        <f t="shared" si="63"/>
        <v>2.4999999999999892E-3</v>
      </c>
      <c r="G341" s="4">
        <f t="shared" si="64"/>
        <v>-3.1622205196071729E-2</v>
      </c>
      <c r="H341" s="4">
        <f t="shared" si="65"/>
        <v>5.8665354879152636</v>
      </c>
      <c r="I341" s="3">
        <f t="shared" si="66"/>
        <v>336.12772382126576</v>
      </c>
      <c r="J341" s="2">
        <f t="shared" si="67"/>
        <v>0.91476953605960809</v>
      </c>
      <c r="K341" s="2">
        <f t="shared" si="68"/>
        <v>-0.40397610807730877</v>
      </c>
      <c r="L341" s="4">
        <f t="shared" si="69"/>
        <v>2.5586280342588981E-2</v>
      </c>
      <c r="M341" s="4">
        <f t="shared" si="70"/>
        <v>-6.6598275438045909E-3</v>
      </c>
    </row>
    <row r="342" spans="1:13" x14ac:dyDescent="0.4">
      <c r="A342" s="1">
        <f t="shared" si="62"/>
        <v>17.000000000000107</v>
      </c>
      <c r="B342" s="1">
        <f t="shared" si="72"/>
        <v>2.2999999999998022E-4</v>
      </c>
      <c r="C342" s="1">
        <f t="shared" si="73"/>
        <v>4.7699999999999982E-3</v>
      </c>
      <c r="D342" s="1">
        <f t="shared" si="71"/>
        <v>0</v>
      </c>
      <c r="E342" s="1">
        <f t="shared" si="71"/>
        <v>0</v>
      </c>
      <c r="F342" s="1">
        <f t="shared" si="63"/>
        <v>2.4999999999999892E-3</v>
      </c>
      <c r="G342" s="4">
        <f t="shared" si="64"/>
        <v>-3.1622205196071729E-2</v>
      </c>
      <c r="H342" s="4">
        <f t="shared" si="65"/>
        <v>5.8649543776554598</v>
      </c>
      <c r="I342" s="3">
        <f t="shared" si="66"/>
        <v>336.03713287643421</v>
      </c>
      <c r="J342" s="2">
        <f t="shared" si="67"/>
        <v>0.91412966213618041</v>
      </c>
      <c r="K342" s="2">
        <f t="shared" si="68"/>
        <v>-0.40542195402172371</v>
      </c>
      <c r="L342" s="4">
        <f t="shared" si="69"/>
        <v>2.5700546550356002E-2</v>
      </c>
      <c r="M342" s="4">
        <f t="shared" si="70"/>
        <v>-6.7105052880573057E-3</v>
      </c>
    </row>
    <row r="343" spans="1:13" x14ac:dyDescent="0.4">
      <c r="A343" s="1">
        <f t="shared" si="62"/>
        <v>17.050000000000107</v>
      </c>
      <c r="B343" s="1">
        <f t="shared" si="72"/>
        <v>2.2999999999998022E-4</v>
      </c>
      <c r="C343" s="1">
        <f t="shared" si="73"/>
        <v>4.7699999999999982E-3</v>
      </c>
      <c r="D343" s="1">
        <f t="shared" si="71"/>
        <v>0</v>
      </c>
      <c r="E343" s="1">
        <f t="shared" si="71"/>
        <v>0</v>
      </c>
      <c r="F343" s="1">
        <f t="shared" si="63"/>
        <v>2.4999999999999892E-3</v>
      </c>
      <c r="G343" s="4">
        <f t="shared" si="64"/>
        <v>-3.1622205196071729E-2</v>
      </c>
      <c r="H343" s="4">
        <f t="shared" si="65"/>
        <v>5.863373267395656</v>
      </c>
      <c r="I343" s="3">
        <f t="shared" si="66"/>
        <v>335.94654193160261</v>
      </c>
      <c r="J343" s="2">
        <f t="shared" si="67"/>
        <v>0.91348750297166248</v>
      </c>
      <c r="K343" s="2">
        <f t="shared" si="68"/>
        <v>-0.40686678644809154</v>
      </c>
      <c r="L343" s="4">
        <f t="shared" si="69"/>
        <v>2.5814732488227458E-2</v>
      </c>
      <c r="M343" s="4">
        <f t="shared" si="70"/>
        <v>-6.7613636363633173E-3</v>
      </c>
    </row>
    <row r="344" spans="1:13" x14ac:dyDescent="0.4">
      <c r="A344" s="1">
        <f t="shared" si="62"/>
        <v>17.100000000000108</v>
      </c>
      <c r="B344" s="1">
        <f t="shared" si="72"/>
        <v>2.2999999999998022E-4</v>
      </c>
      <c r="C344" s="1">
        <f t="shared" si="73"/>
        <v>4.7699999999999982E-3</v>
      </c>
      <c r="D344" s="1">
        <f t="shared" si="71"/>
        <v>0</v>
      </c>
      <c r="E344" s="1">
        <f t="shared" si="71"/>
        <v>0</v>
      </c>
      <c r="F344" s="1">
        <f t="shared" si="63"/>
        <v>2.4999999999999892E-3</v>
      </c>
      <c r="G344" s="4">
        <f t="shared" si="64"/>
        <v>-3.1622205196071729E-2</v>
      </c>
      <c r="H344" s="4">
        <f t="shared" si="65"/>
        <v>5.8617921571358522</v>
      </c>
      <c r="I344" s="3">
        <f t="shared" si="66"/>
        <v>335.85595098677095</v>
      </c>
      <c r="J344" s="2">
        <f t="shared" si="67"/>
        <v>0.91284306017139238</v>
      </c>
      <c r="K344" s="2">
        <f t="shared" si="68"/>
        <v>-0.40831060174446571</v>
      </c>
      <c r="L344" s="4">
        <f t="shared" si="69"/>
        <v>2.5928837870748882E-2</v>
      </c>
      <c r="M344" s="4">
        <f t="shared" si="70"/>
        <v>-6.8124024615813751E-3</v>
      </c>
    </row>
    <row r="345" spans="1:13" x14ac:dyDescent="0.4">
      <c r="A345" s="1">
        <f t="shared" si="62"/>
        <v>17.150000000000109</v>
      </c>
      <c r="B345" s="1">
        <f t="shared" si="72"/>
        <v>2.2999999999998022E-4</v>
      </c>
      <c r="C345" s="1">
        <f t="shared" si="73"/>
        <v>4.7699999999999982E-3</v>
      </c>
      <c r="D345" s="1">
        <f t="shared" si="71"/>
        <v>0</v>
      </c>
      <c r="E345" s="1">
        <f t="shared" si="71"/>
        <v>0</v>
      </c>
      <c r="F345" s="1">
        <f t="shared" si="63"/>
        <v>2.4999999999999892E-3</v>
      </c>
      <c r="G345" s="4">
        <f t="shared" si="64"/>
        <v>-3.1622205196071729E-2</v>
      </c>
      <c r="H345" s="4">
        <f t="shared" si="65"/>
        <v>5.8602110468760484</v>
      </c>
      <c r="I345" s="3">
        <f t="shared" si="66"/>
        <v>335.7653600419394</v>
      </c>
      <c r="J345" s="2">
        <f t="shared" si="67"/>
        <v>0.91219633534642008</v>
      </c>
      <c r="K345" s="2">
        <f t="shared" si="68"/>
        <v>-0.40975339630143592</v>
      </c>
      <c r="L345" s="4">
        <f t="shared" si="69"/>
        <v>2.6042862412667185E-2</v>
      </c>
      <c r="M345" s="4">
        <f t="shared" si="70"/>
        <v>-6.8636216361190544E-3</v>
      </c>
    </row>
    <row r="346" spans="1:13" x14ac:dyDescent="0.4">
      <c r="A346" s="1">
        <f t="shared" si="62"/>
        <v>17.200000000000109</v>
      </c>
      <c r="B346" s="1">
        <f t="shared" si="72"/>
        <v>2.2999999999998022E-4</v>
      </c>
      <c r="C346" s="1">
        <f t="shared" si="73"/>
        <v>4.7699999999999982E-3</v>
      </c>
      <c r="D346" s="1">
        <f t="shared" si="71"/>
        <v>0</v>
      </c>
      <c r="E346" s="1">
        <f t="shared" si="71"/>
        <v>0</v>
      </c>
      <c r="F346" s="1">
        <f t="shared" si="63"/>
        <v>2.4999999999999892E-3</v>
      </c>
      <c r="G346" s="4">
        <f t="shared" si="64"/>
        <v>-3.1622205196071729E-2</v>
      </c>
      <c r="H346" s="4">
        <f t="shared" si="65"/>
        <v>5.8586299366162446</v>
      </c>
      <c r="I346" s="3">
        <f t="shared" si="66"/>
        <v>335.6747690971078</v>
      </c>
      <c r="J346" s="2">
        <f t="shared" si="67"/>
        <v>0.91154733011349731</v>
      </c>
      <c r="K346" s="2">
        <f t="shared" si="68"/>
        <v>-0.4111951665121501</v>
      </c>
      <c r="L346" s="4">
        <f t="shared" si="69"/>
        <v>2.6156805828931373E-2</v>
      </c>
      <c r="M346" s="4">
        <f t="shared" si="70"/>
        <v>-6.9150210319330729E-3</v>
      </c>
    </row>
    <row r="347" spans="1:13" x14ac:dyDescent="0.4">
      <c r="A347" s="1">
        <f t="shared" si="62"/>
        <v>17.25000000000011</v>
      </c>
      <c r="B347" s="1">
        <f t="shared" si="72"/>
        <v>2.2999999999998022E-4</v>
      </c>
      <c r="C347" s="1">
        <f t="shared" si="73"/>
        <v>4.7699999999999982E-3</v>
      </c>
      <c r="D347" s="1">
        <f t="shared" si="71"/>
        <v>0</v>
      </c>
      <c r="E347" s="1">
        <f t="shared" si="71"/>
        <v>0</v>
      </c>
      <c r="F347" s="1">
        <f t="shared" si="63"/>
        <v>2.4999999999999892E-3</v>
      </c>
      <c r="G347" s="4">
        <f t="shared" si="64"/>
        <v>-3.1622205196071729E-2</v>
      </c>
      <c r="H347" s="4">
        <f t="shared" si="65"/>
        <v>5.8570488263564409</v>
      </c>
      <c r="I347" s="3">
        <f t="shared" si="66"/>
        <v>335.58417815227625</v>
      </c>
      <c r="J347" s="2">
        <f t="shared" si="67"/>
        <v>0.91089604609507968</v>
      </c>
      <c r="K347" s="2">
        <f t="shared" si="68"/>
        <v>-0.41263590877231054</v>
      </c>
      <c r="L347" s="4">
        <f t="shared" si="69"/>
        <v>2.6270667834693257E-2</v>
      </c>
      <c r="M347" s="4">
        <f t="shared" si="70"/>
        <v>-6.9666005205296115E-3</v>
      </c>
    </row>
    <row r="348" spans="1:13" x14ac:dyDescent="0.4">
      <c r="A348" s="1">
        <f t="shared" si="62"/>
        <v>17.300000000000111</v>
      </c>
      <c r="B348" s="1">
        <f t="shared" si="72"/>
        <v>2.2999999999998022E-4</v>
      </c>
      <c r="C348" s="1">
        <f t="shared" si="73"/>
        <v>4.7699999999999982E-3</v>
      </c>
      <c r="D348" s="1">
        <f t="shared" si="71"/>
        <v>0</v>
      </c>
      <c r="E348" s="1">
        <f t="shared" si="71"/>
        <v>0</v>
      </c>
      <c r="F348" s="1">
        <f t="shared" si="63"/>
        <v>2.4999999999999892E-3</v>
      </c>
      <c r="G348" s="4">
        <f t="shared" si="64"/>
        <v>-3.1622205196071729E-2</v>
      </c>
      <c r="H348" s="4">
        <f t="shared" si="65"/>
        <v>5.8554677160966371</v>
      </c>
      <c r="I348" s="3">
        <f t="shared" si="66"/>
        <v>335.49358720744465</v>
      </c>
      <c r="J348" s="2">
        <f t="shared" si="67"/>
        <v>0.91024248491931659</v>
      </c>
      <c r="K348" s="2">
        <f t="shared" si="68"/>
        <v>-0.41407561948019567</v>
      </c>
      <c r="L348" s="4">
        <f t="shared" si="69"/>
        <v>2.638444814530817E-2</v>
      </c>
      <c r="M348" s="4">
        <f t="shared" si="70"/>
        <v>-7.018359972964636E-3</v>
      </c>
    </row>
    <row r="349" spans="1:13" x14ac:dyDescent="0.4">
      <c r="A349" s="1">
        <f t="shared" si="62"/>
        <v>17.350000000000112</v>
      </c>
      <c r="B349" s="1">
        <f t="shared" si="72"/>
        <v>2.2999999999998022E-4</v>
      </c>
      <c r="C349" s="1">
        <f t="shared" si="73"/>
        <v>4.7699999999999982E-3</v>
      </c>
      <c r="D349" s="1">
        <f t="shared" si="71"/>
        <v>0</v>
      </c>
      <c r="E349" s="1">
        <f t="shared" si="71"/>
        <v>0</v>
      </c>
      <c r="F349" s="1">
        <f t="shared" si="63"/>
        <v>2.4999999999999892E-3</v>
      </c>
      <c r="G349" s="4">
        <f t="shared" si="64"/>
        <v>-3.1622205196071729E-2</v>
      </c>
      <c r="H349" s="4">
        <f t="shared" si="65"/>
        <v>5.8538866058368333</v>
      </c>
      <c r="I349" s="3">
        <f t="shared" si="66"/>
        <v>335.40299626261304</v>
      </c>
      <c r="J349" s="2">
        <f t="shared" si="67"/>
        <v>0.90958664822005297</v>
      </c>
      <c r="K349" s="2">
        <f t="shared" si="68"/>
        <v>-0.41551429503665638</v>
      </c>
      <c r="L349" s="4">
        <f t="shared" si="69"/>
        <v>2.6498146476335676E-2</v>
      </c>
      <c r="M349" s="4">
        <f t="shared" si="70"/>
        <v>-7.0702992598442177E-3</v>
      </c>
    </row>
    <row r="350" spans="1:13" x14ac:dyDescent="0.4">
      <c r="A350" s="1">
        <f t="shared" si="62"/>
        <v>17.400000000000112</v>
      </c>
      <c r="B350" s="1">
        <f t="shared" si="72"/>
        <v>2.2999999999998022E-4</v>
      </c>
      <c r="C350" s="1">
        <f t="shared" si="73"/>
        <v>4.7699999999999982E-3</v>
      </c>
      <c r="D350" s="1">
        <f t="shared" si="71"/>
        <v>0</v>
      </c>
      <c r="E350" s="1">
        <f t="shared" si="71"/>
        <v>0</v>
      </c>
      <c r="F350" s="1">
        <f t="shared" si="63"/>
        <v>2.4999999999999892E-3</v>
      </c>
      <c r="G350" s="4">
        <f t="shared" si="64"/>
        <v>-3.1622205196071729E-2</v>
      </c>
      <c r="H350" s="4">
        <f t="shared" si="65"/>
        <v>5.8523054955770295</v>
      </c>
      <c r="I350" s="3">
        <f t="shared" si="66"/>
        <v>335.3124053177815</v>
      </c>
      <c r="J350" s="2">
        <f t="shared" si="67"/>
        <v>0.9089285376368198</v>
      </c>
      <c r="K350" s="2">
        <f t="shared" si="68"/>
        <v>-0.41695193184513768</v>
      </c>
      <c r="L350" s="4">
        <f t="shared" si="69"/>
        <v>2.6611762543540279E-2</v>
      </c>
      <c r="M350" s="4">
        <f t="shared" si="70"/>
        <v>-7.1224182513248595E-3</v>
      </c>
    </row>
    <row r="351" spans="1:13" x14ac:dyDescent="0.4">
      <c r="A351" s="1">
        <f t="shared" si="62"/>
        <v>17.450000000000113</v>
      </c>
      <c r="B351" s="1">
        <f t="shared" si="72"/>
        <v>2.2999999999998022E-4</v>
      </c>
      <c r="C351" s="1">
        <f t="shared" si="73"/>
        <v>4.7699999999999982E-3</v>
      </c>
      <c r="D351" s="1">
        <f t="shared" si="71"/>
        <v>0</v>
      </c>
      <c r="E351" s="1">
        <f t="shared" si="71"/>
        <v>0</v>
      </c>
      <c r="F351" s="1">
        <f t="shared" si="63"/>
        <v>2.4999999999999892E-3</v>
      </c>
      <c r="G351" s="4">
        <f t="shared" si="64"/>
        <v>-3.1622205196071729E-2</v>
      </c>
      <c r="H351" s="4">
        <f t="shared" si="65"/>
        <v>5.8507243853172257</v>
      </c>
      <c r="I351" s="3">
        <f t="shared" si="66"/>
        <v>335.22181437294989</v>
      </c>
      <c r="J351" s="2">
        <f t="shared" si="67"/>
        <v>0.90826815481483492</v>
      </c>
      <c r="K351" s="2">
        <f t="shared" si="68"/>
        <v>-0.418388526311675</v>
      </c>
      <c r="L351" s="4">
        <f t="shared" si="69"/>
        <v>2.6725296062892132E-2</v>
      </c>
      <c r="M351" s="4">
        <f t="shared" si="70"/>
        <v>-7.1747168171138187E-3</v>
      </c>
    </row>
    <row r="352" spans="1:13" x14ac:dyDescent="0.4">
      <c r="A352" s="1">
        <f t="shared" si="62"/>
        <v>17.500000000000114</v>
      </c>
      <c r="B352" s="1">
        <f t="shared" si="72"/>
        <v>2.2999999999998022E-4</v>
      </c>
      <c r="C352" s="1">
        <f t="shared" si="73"/>
        <v>4.7699999999999982E-3</v>
      </c>
      <c r="D352" s="1">
        <f t="shared" si="71"/>
        <v>0</v>
      </c>
      <c r="E352" s="1">
        <f t="shared" si="71"/>
        <v>0</v>
      </c>
      <c r="F352" s="1">
        <f t="shared" si="63"/>
        <v>2.4999999999999892E-3</v>
      </c>
      <c r="G352" s="4">
        <f t="shared" si="64"/>
        <v>-3.1622205196071729E-2</v>
      </c>
      <c r="H352" s="4">
        <f t="shared" si="65"/>
        <v>5.8491432750574219</v>
      </c>
      <c r="I352" s="3">
        <f t="shared" si="66"/>
        <v>335.13122342811823</v>
      </c>
      <c r="J352" s="2">
        <f t="shared" si="67"/>
        <v>0.90760550140499396</v>
      </c>
      <c r="K352" s="2">
        <f t="shared" si="68"/>
        <v>-0.41982407484491591</v>
      </c>
      <c r="L352" s="4">
        <f t="shared" si="69"/>
        <v>2.6838746750567754E-2</v>
      </c>
      <c r="M352" s="4">
        <f t="shared" si="70"/>
        <v>-7.227194826469433E-3</v>
      </c>
    </row>
    <row r="353" spans="1:13" x14ac:dyDescent="0.4">
      <c r="A353" s="1">
        <f t="shared" si="62"/>
        <v>17.550000000000114</v>
      </c>
      <c r="B353" s="1">
        <f t="shared" si="72"/>
        <v>2.2999999999998022E-4</v>
      </c>
      <c r="C353" s="1">
        <f t="shared" si="73"/>
        <v>4.7699999999999982E-3</v>
      </c>
      <c r="D353" s="1">
        <f t="shared" si="71"/>
        <v>0</v>
      </c>
      <c r="E353" s="1">
        <f t="shared" si="71"/>
        <v>0</v>
      </c>
      <c r="F353" s="1">
        <f t="shared" si="63"/>
        <v>2.4999999999999892E-3</v>
      </c>
      <c r="G353" s="4">
        <f t="shared" si="64"/>
        <v>-3.1622205196071729E-2</v>
      </c>
      <c r="H353" s="4">
        <f t="shared" si="65"/>
        <v>5.8475621647976181</v>
      </c>
      <c r="I353" s="3">
        <f t="shared" si="66"/>
        <v>335.04063248328669</v>
      </c>
      <c r="J353" s="2">
        <f t="shared" si="67"/>
        <v>0.90694057906387171</v>
      </c>
      <c r="K353" s="2">
        <f t="shared" si="68"/>
        <v>-0.42125857385611631</v>
      </c>
      <c r="L353" s="4">
        <f t="shared" si="69"/>
        <v>2.6952114322950738E-2</v>
      </c>
      <c r="M353" s="4">
        <f t="shared" si="70"/>
        <v>-7.2798521482014475E-3</v>
      </c>
    </row>
    <row r="354" spans="1:13" x14ac:dyDescent="0.4">
      <c r="A354" s="1">
        <f t="shared" si="62"/>
        <v>17.600000000000115</v>
      </c>
      <c r="B354" s="1">
        <f t="shared" si="72"/>
        <v>2.2999999999998022E-4</v>
      </c>
      <c r="C354" s="1">
        <f t="shared" si="73"/>
        <v>4.7699999999999982E-3</v>
      </c>
      <c r="D354" s="1">
        <f t="shared" si="71"/>
        <v>0</v>
      </c>
      <c r="E354" s="1">
        <f t="shared" si="71"/>
        <v>0</v>
      </c>
      <c r="F354" s="1">
        <f t="shared" si="63"/>
        <v>2.4999999999999892E-3</v>
      </c>
      <c r="G354" s="4">
        <f t="shared" si="64"/>
        <v>-3.1622205196071729E-2</v>
      </c>
      <c r="H354" s="4">
        <f t="shared" si="65"/>
        <v>5.8459810545378144</v>
      </c>
      <c r="I354" s="3">
        <f t="shared" si="66"/>
        <v>334.95004153845508</v>
      </c>
      <c r="J354" s="2">
        <f t="shared" si="67"/>
        <v>0.90627338945371227</v>
      </c>
      <c r="K354" s="2">
        <f t="shared" si="68"/>
        <v>-0.42269201975916221</v>
      </c>
      <c r="L354" s="4">
        <f t="shared" si="69"/>
        <v>2.7065398496632451E-2</v>
      </c>
      <c r="M354" s="4">
        <f t="shared" si="70"/>
        <v>-7.3326886506713427E-3</v>
      </c>
    </row>
    <row r="355" spans="1:13" x14ac:dyDescent="0.4">
      <c r="A355" s="1">
        <f t="shared" si="62"/>
        <v>17.650000000000116</v>
      </c>
      <c r="B355" s="1">
        <f t="shared" si="72"/>
        <v>2.2999999999998022E-4</v>
      </c>
      <c r="C355" s="1">
        <f t="shared" si="73"/>
        <v>4.7699999999999982E-3</v>
      </c>
      <c r="D355" s="1">
        <f t="shared" si="71"/>
        <v>0</v>
      </c>
      <c r="E355" s="1">
        <f t="shared" si="71"/>
        <v>0</v>
      </c>
      <c r="F355" s="1">
        <f t="shared" si="63"/>
        <v>2.4999999999999892E-3</v>
      </c>
      <c r="G355" s="4">
        <f t="shared" si="64"/>
        <v>-3.1622205196071729E-2</v>
      </c>
      <c r="H355" s="4">
        <f t="shared" si="65"/>
        <v>5.8443999442780106</v>
      </c>
      <c r="I355" s="3">
        <f t="shared" si="66"/>
        <v>334.85945059362354</v>
      </c>
      <c r="J355" s="2">
        <f t="shared" si="67"/>
        <v>0.90560393424243035</v>
      </c>
      <c r="K355" s="2">
        <f t="shared" si="68"/>
        <v>-0.42412440897056597</v>
      </c>
      <c r="L355" s="4">
        <f t="shared" si="69"/>
        <v>2.7178598988412756E-2</v>
      </c>
      <c r="M355" s="4">
        <f t="shared" si="70"/>
        <v>-7.3857042017926632E-3</v>
      </c>
    </row>
    <row r="356" spans="1:13" x14ac:dyDescent="0.4">
      <c r="A356" s="1">
        <f t="shared" si="62"/>
        <v>17.700000000000117</v>
      </c>
      <c r="B356" s="1">
        <f t="shared" si="72"/>
        <v>2.2999999999998022E-4</v>
      </c>
      <c r="C356" s="1">
        <f t="shared" si="73"/>
        <v>4.7699999999999982E-3</v>
      </c>
      <c r="D356" s="1">
        <f t="shared" si="71"/>
        <v>0</v>
      </c>
      <c r="E356" s="1">
        <f t="shared" si="71"/>
        <v>0</v>
      </c>
      <c r="F356" s="1">
        <f t="shared" si="63"/>
        <v>2.4999999999999892E-3</v>
      </c>
      <c r="G356" s="4">
        <f t="shared" si="64"/>
        <v>-3.1622205196071729E-2</v>
      </c>
      <c r="H356" s="4">
        <f t="shared" si="65"/>
        <v>5.8428188340182068</v>
      </c>
      <c r="I356" s="3">
        <f t="shared" si="66"/>
        <v>334.76885964879193</v>
      </c>
      <c r="J356" s="2">
        <f t="shared" si="67"/>
        <v>0.90493221510360167</v>
      </c>
      <c r="K356" s="2">
        <f t="shared" si="68"/>
        <v>-0.42555573790948786</v>
      </c>
      <c r="L356" s="4">
        <f t="shared" si="69"/>
        <v>2.7291715515300706E-2</v>
      </c>
      <c r="M356" s="4">
        <f t="shared" si="70"/>
        <v>-7.4388986690313488E-3</v>
      </c>
    </row>
    <row r="357" spans="1:13" x14ac:dyDescent="0.4">
      <c r="A357" s="1">
        <f t="shared" si="62"/>
        <v>17.750000000000117</v>
      </c>
      <c r="B357" s="1">
        <f t="shared" si="72"/>
        <v>2.2999999999998022E-4</v>
      </c>
      <c r="C357" s="1">
        <f t="shared" si="73"/>
        <v>4.7699999999999982E-3</v>
      </c>
      <c r="D357" s="1">
        <f t="shared" si="71"/>
        <v>0</v>
      </c>
      <c r="E357" s="1">
        <f t="shared" si="71"/>
        <v>0</v>
      </c>
      <c r="F357" s="1">
        <f t="shared" si="63"/>
        <v>2.4999999999999892E-3</v>
      </c>
      <c r="G357" s="4">
        <f t="shared" si="64"/>
        <v>-3.1622205196071729E-2</v>
      </c>
      <c r="H357" s="4">
        <f t="shared" si="65"/>
        <v>5.841237723758403</v>
      </c>
      <c r="I357" s="3">
        <f t="shared" si="66"/>
        <v>334.67826870396033</v>
      </c>
      <c r="J357" s="2">
        <f t="shared" si="67"/>
        <v>0.90425823371646463</v>
      </c>
      <c r="K357" s="2">
        <f t="shared" si="68"/>
        <v>-0.42698600299773243</v>
      </c>
      <c r="L357" s="4">
        <f t="shared" si="69"/>
        <v>2.7404747794515263E-2</v>
      </c>
      <c r="M357" s="4">
        <f t="shared" si="70"/>
        <v>-7.4922719194060652E-3</v>
      </c>
    </row>
    <row r="358" spans="1:13" x14ac:dyDescent="0.4">
      <c r="A358" s="1">
        <f t="shared" si="62"/>
        <v>17.800000000000118</v>
      </c>
      <c r="B358" s="1">
        <f t="shared" si="72"/>
        <v>2.2999999999998022E-4</v>
      </c>
      <c r="C358" s="1">
        <f t="shared" si="73"/>
        <v>4.7699999999999982E-3</v>
      </c>
      <c r="D358" s="1">
        <f t="shared" si="71"/>
        <v>0</v>
      </c>
      <c r="E358" s="1">
        <f t="shared" si="71"/>
        <v>0</v>
      </c>
      <c r="F358" s="1">
        <f t="shared" si="63"/>
        <v>2.4999999999999892E-3</v>
      </c>
      <c r="G358" s="4">
        <f t="shared" si="64"/>
        <v>-3.1622205196071729E-2</v>
      </c>
      <c r="H358" s="4">
        <f t="shared" si="65"/>
        <v>5.8396566134985992</v>
      </c>
      <c r="I358" s="3">
        <f t="shared" si="66"/>
        <v>334.58767775912878</v>
      </c>
      <c r="J358" s="2">
        <f t="shared" si="67"/>
        <v>0.90358199176590992</v>
      </c>
      <c r="K358" s="2">
        <f t="shared" si="68"/>
        <v>-0.42841520065977007</v>
      </c>
      <c r="L358" s="4">
        <f t="shared" si="69"/>
        <v>2.7517695543486001E-2</v>
      </c>
      <c r="M358" s="4">
        <f t="shared" si="70"/>
        <v>-7.5458238194885362E-3</v>
      </c>
    </row>
    <row r="359" spans="1:13" x14ac:dyDescent="0.4">
      <c r="A359" s="1">
        <f t="shared" si="62"/>
        <v>17.850000000000119</v>
      </c>
      <c r="B359" s="1">
        <f t="shared" si="72"/>
        <v>2.2999999999998022E-4</v>
      </c>
      <c r="C359" s="1">
        <f t="shared" si="73"/>
        <v>4.7699999999999982E-3</v>
      </c>
      <c r="D359" s="1">
        <f t="shared" si="71"/>
        <v>0</v>
      </c>
      <c r="E359" s="1">
        <f t="shared" si="71"/>
        <v>0</v>
      </c>
      <c r="F359" s="1">
        <f t="shared" si="63"/>
        <v>2.4999999999999892E-3</v>
      </c>
      <c r="G359" s="4">
        <f t="shared" si="64"/>
        <v>-3.1622205196071729E-2</v>
      </c>
      <c r="H359" s="4">
        <f t="shared" si="65"/>
        <v>5.8380755032387954</v>
      </c>
      <c r="I359" s="3">
        <f t="shared" si="66"/>
        <v>334.49708681429712</v>
      </c>
      <c r="J359" s="2">
        <f t="shared" si="67"/>
        <v>0.90290349094248246</v>
      </c>
      <c r="K359" s="2">
        <f t="shared" si="68"/>
        <v>-0.42984332732273334</v>
      </c>
      <c r="L359" s="4">
        <f t="shared" si="69"/>
        <v>2.7630558479853812E-2</v>
      </c>
      <c r="M359" s="4">
        <f t="shared" si="70"/>
        <v>-7.5995542354038775E-3</v>
      </c>
    </row>
    <row r="360" spans="1:13" x14ac:dyDescent="0.4">
      <c r="A360" s="1">
        <f t="shared" si="62"/>
        <v>17.900000000000119</v>
      </c>
      <c r="B360" s="1">
        <f t="shared" si="72"/>
        <v>2.2999999999998022E-4</v>
      </c>
      <c r="C360" s="1">
        <f t="shared" si="73"/>
        <v>4.7699999999999982E-3</v>
      </c>
      <c r="D360" s="1">
        <f t="shared" si="71"/>
        <v>0</v>
      </c>
      <c r="E360" s="1">
        <f t="shared" si="71"/>
        <v>0</v>
      </c>
      <c r="F360" s="1">
        <f t="shared" si="63"/>
        <v>2.4999999999999892E-3</v>
      </c>
      <c r="G360" s="4">
        <f t="shared" si="64"/>
        <v>-3.1622205196071729E-2</v>
      </c>
      <c r="H360" s="4">
        <f t="shared" si="65"/>
        <v>5.8364943929789916</v>
      </c>
      <c r="I360" s="3">
        <f t="shared" si="66"/>
        <v>334.40649586946552</v>
      </c>
      <c r="J360" s="2">
        <f t="shared" si="67"/>
        <v>0.9022227329423711</v>
      </c>
      <c r="K360" s="2">
        <f t="shared" si="68"/>
        <v>-0.43127037941643853</v>
      </c>
      <c r="L360" s="4">
        <f t="shared" si="69"/>
        <v>2.7743336321471607E-2</v>
      </c>
      <c r="M360" s="4">
        <f t="shared" si="70"/>
        <v>-7.6534630328309317E-3</v>
      </c>
    </row>
    <row r="361" spans="1:13" x14ac:dyDescent="0.4">
      <c r="A361" s="1">
        <f t="shared" si="62"/>
        <v>17.95000000000012</v>
      </c>
      <c r="B361" s="1">
        <f t="shared" si="72"/>
        <v>2.2999999999998022E-4</v>
      </c>
      <c r="C361" s="1">
        <f t="shared" si="73"/>
        <v>4.7699999999999982E-3</v>
      </c>
      <c r="D361" s="1">
        <f t="shared" si="71"/>
        <v>0</v>
      </c>
      <c r="E361" s="1">
        <f t="shared" si="71"/>
        <v>0</v>
      </c>
      <c r="F361" s="1">
        <f t="shared" si="63"/>
        <v>2.4999999999999892E-3</v>
      </c>
      <c r="G361" s="4">
        <f t="shared" si="64"/>
        <v>-3.1622205196071729E-2</v>
      </c>
      <c r="H361" s="4">
        <f t="shared" si="65"/>
        <v>5.8349132827191879</v>
      </c>
      <c r="I361" s="3">
        <f t="shared" si="66"/>
        <v>334.31590492463397</v>
      </c>
      <c r="J361" s="2">
        <f t="shared" si="67"/>
        <v>0.90153971946741063</v>
      </c>
      <c r="K361" s="2">
        <f t="shared" si="68"/>
        <v>-0.43269635337338186</v>
      </c>
      <c r="L361" s="4">
        <f t="shared" si="69"/>
        <v>2.7856028786405033E-2</v>
      </c>
      <c r="M361" s="4">
        <f t="shared" si="70"/>
        <v>-7.7075500770026045E-3</v>
      </c>
    </row>
    <row r="362" spans="1:13" x14ac:dyDescent="0.4">
      <c r="A362" s="1">
        <f t="shared" si="62"/>
        <v>18.000000000000121</v>
      </c>
      <c r="B362" s="1">
        <f t="shared" si="72"/>
        <v>2.2999999999998022E-4</v>
      </c>
      <c r="C362" s="1">
        <f t="shared" si="73"/>
        <v>4.7699999999999982E-3</v>
      </c>
      <c r="D362" s="1">
        <f t="shared" si="71"/>
        <v>0</v>
      </c>
      <c r="E362" s="1">
        <f t="shared" si="71"/>
        <v>0</v>
      </c>
      <c r="F362" s="1">
        <f t="shared" si="63"/>
        <v>2.4999999999999892E-3</v>
      </c>
      <c r="G362" s="4">
        <f t="shared" si="64"/>
        <v>-3.1622205196071729E-2</v>
      </c>
      <c r="H362" s="4">
        <f t="shared" si="65"/>
        <v>5.8333321724593841</v>
      </c>
      <c r="I362" s="3">
        <f t="shared" si="66"/>
        <v>334.22531397980237</v>
      </c>
      <c r="J362" s="2">
        <f t="shared" si="67"/>
        <v>0.90085445222507099</v>
      </c>
      <c r="K362" s="2">
        <f t="shared" si="68"/>
        <v>-0.43412124562876125</v>
      </c>
      <c r="L362" s="4">
        <f t="shared" si="69"/>
        <v>2.7968635592933166E-2</v>
      </c>
      <c r="M362" s="4">
        <f t="shared" si="70"/>
        <v>-7.761815232706199E-3</v>
      </c>
    </row>
    <row r="363" spans="1:13" x14ac:dyDescent="0.4">
      <c r="A363" s="1">
        <f t="shared" si="62"/>
        <v>18.050000000000122</v>
      </c>
      <c r="B363" s="1">
        <f t="shared" si="72"/>
        <v>2.2999999999998022E-4</v>
      </c>
      <c r="C363" s="1">
        <f t="shared" si="73"/>
        <v>4.7699999999999982E-3</v>
      </c>
      <c r="D363" s="1">
        <f t="shared" si="71"/>
        <v>0</v>
      </c>
      <c r="E363" s="1">
        <f t="shared" si="71"/>
        <v>0</v>
      </c>
      <c r="F363" s="1">
        <f t="shared" si="63"/>
        <v>2.4999999999999892E-3</v>
      </c>
      <c r="G363" s="4">
        <f t="shared" si="64"/>
        <v>-3.1622205196071729E-2</v>
      </c>
      <c r="H363" s="4">
        <f t="shared" si="65"/>
        <v>5.8317510621995803</v>
      </c>
      <c r="I363" s="3">
        <f t="shared" si="66"/>
        <v>334.13472303497082</v>
      </c>
      <c r="J363" s="2">
        <f t="shared" si="67"/>
        <v>0.90016693292845962</v>
      </c>
      <c r="K363" s="2">
        <f t="shared" si="68"/>
        <v>-0.43554505262047238</v>
      </c>
      <c r="L363" s="4">
        <f t="shared" si="69"/>
        <v>2.8081156459549225E-2</v>
      </c>
      <c r="M363" s="4">
        <f t="shared" si="70"/>
        <v>-7.8162583642837572E-3</v>
      </c>
    </row>
    <row r="364" spans="1:13" x14ac:dyDescent="0.4">
      <c r="A364" s="1">
        <f t="shared" si="62"/>
        <v>18.100000000000122</v>
      </c>
      <c r="B364" s="1">
        <f t="shared" si="72"/>
        <v>2.2999999999998022E-4</v>
      </c>
      <c r="C364" s="1">
        <f t="shared" si="73"/>
        <v>4.7699999999999982E-3</v>
      </c>
      <c r="D364" s="1">
        <f t="shared" si="71"/>
        <v>0</v>
      </c>
      <c r="E364" s="1">
        <f t="shared" si="71"/>
        <v>0</v>
      </c>
      <c r="F364" s="1">
        <f t="shared" si="63"/>
        <v>2.4999999999999892E-3</v>
      </c>
      <c r="G364" s="4">
        <f t="shared" si="64"/>
        <v>-3.1622205196071729E-2</v>
      </c>
      <c r="H364" s="4">
        <f t="shared" si="65"/>
        <v>5.8301699519397765</v>
      </c>
      <c r="I364" s="3">
        <f t="shared" si="66"/>
        <v>334.04413209013921</v>
      </c>
      <c r="J364" s="2">
        <f t="shared" si="67"/>
        <v>0.89947716329631078</v>
      </c>
      <c r="K364" s="2">
        <f t="shared" si="68"/>
        <v>-0.43696777078913024</v>
      </c>
      <c r="L364" s="4">
        <f t="shared" si="69"/>
        <v>2.8193591104961262E-2</v>
      </c>
      <c r="M364" s="4">
        <f t="shared" si="70"/>
        <v>-7.8708793356323976E-3</v>
      </c>
    </row>
    <row r="365" spans="1:13" x14ac:dyDescent="0.4">
      <c r="A365" s="1">
        <f t="shared" si="62"/>
        <v>18.150000000000123</v>
      </c>
      <c r="B365" s="1">
        <f t="shared" si="72"/>
        <v>2.2999999999998022E-4</v>
      </c>
      <c r="C365" s="1">
        <f t="shared" si="73"/>
        <v>4.7699999999999982E-3</v>
      </c>
      <c r="D365" s="1">
        <f t="shared" si="71"/>
        <v>0</v>
      </c>
      <c r="E365" s="1">
        <f t="shared" si="71"/>
        <v>0</v>
      </c>
      <c r="F365" s="1">
        <f t="shared" si="63"/>
        <v>2.4999999999999892E-3</v>
      </c>
      <c r="G365" s="4">
        <f t="shared" si="64"/>
        <v>-3.1622205196071729E-2</v>
      </c>
      <c r="H365" s="4">
        <f t="shared" si="65"/>
        <v>5.8285888416799727</v>
      </c>
      <c r="I365" s="3">
        <f t="shared" si="66"/>
        <v>333.95354114530767</v>
      </c>
      <c r="J365" s="2">
        <f t="shared" si="67"/>
        <v>0.89878514505298734</v>
      </c>
      <c r="K365" s="2">
        <f t="shared" si="68"/>
        <v>-0.43838939657806553</v>
      </c>
      <c r="L365" s="4">
        <f t="shared" si="69"/>
        <v>2.8305939248092885E-2</v>
      </c>
      <c r="M365" s="4">
        <f t="shared" si="70"/>
        <v>-7.9256780102046551E-3</v>
      </c>
    </row>
    <row r="366" spans="1:13" x14ac:dyDescent="0.4">
      <c r="A366" s="1">
        <f t="shared" si="62"/>
        <v>18.200000000000124</v>
      </c>
      <c r="B366" s="1">
        <f t="shared" si="72"/>
        <v>2.2999999999998022E-4</v>
      </c>
      <c r="C366" s="1">
        <f t="shared" si="73"/>
        <v>4.7699999999999982E-3</v>
      </c>
      <c r="D366" s="1">
        <f t="shared" si="71"/>
        <v>0</v>
      </c>
      <c r="E366" s="1">
        <f t="shared" si="71"/>
        <v>0</v>
      </c>
      <c r="F366" s="1">
        <f t="shared" si="63"/>
        <v>2.4999999999999892E-3</v>
      </c>
      <c r="G366" s="4">
        <f t="shared" si="64"/>
        <v>-3.1622205196071729E-2</v>
      </c>
      <c r="H366" s="4">
        <f t="shared" si="65"/>
        <v>5.8270077314201689</v>
      </c>
      <c r="I366" s="3">
        <f t="shared" si="66"/>
        <v>333.86295020047601</v>
      </c>
      <c r="J366" s="2">
        <f t="shared" si="67"/>
        <v>0.89809087992847059</v>
      </c>
      <c r="K366" s="2">
        <f t="shared" si="68"/>
        <v>-0.43980992643334621</v>
      </c>
      <c r="L366" s="4">
        <f t="shared" si="69"/>
        <v>2.8418200608083942E-2</v>
      </c>
      <c r="M366" s="4">
        <f t="shared" si="70"/>
        <v>-7.9806542510088233E-3</v>
      </c>
    </row>
    <row r="367" spans="1:13" x14ac:dyDescent="0.4">
      <c r="A367" s="1">
        <f t="shared" si="62"/>
        <v>18.250000000000124</v>
      </c>
      <c r="B367" s="1">
        <f t="shared" si="72"/>
        <v>2.2999999999998022E-4</v>
      </c>
      <c r="C367" s="1">
        <f t="shared" si="73"/>
        <v>4.7699999999999982E-3</v>
      </c>
      <c r="D367" s="1">
        <f t="shared" si="71"/>
        <v>0</v>
      </c>
      <c r="E367" s="1">
        <f t="shared" si="71"/>
        <v>0</v>
      </c>
      <c r="F367" s="1">
        <f t="shared" si="63"/>
        <v>2.4999999999999892E-3</v>
      </c>
      <c r="G367" s="4">
        <f t="shared" si="64"/>
        <v>-3.1622205196071729E-2</v>
      </c>
      <c r="H367" s="4">
        <f t="shared" si="65"/>
        <v>5.8254266211603651</v>
      </c>
      <c r="I367" s="3">
        <f t="shared" si="66"/>
        <v>333.7723592556444</v>
      </c>
      <c r="J367" s="2">
        <f t="shared" si="67"/>
        <v>0.89739436965836172</v>
      </c>
      <c r="K367" s="2">
        <f t="shared" si="68"/>
        <v>-0.44122935680377345</v>
      </c>
      <c r="L367" s="4">
        <f t="shared" si="69"/>
        <v>2.8530374904291236E-2</v>
      </c>
      <c r="M367" s="4">
        <f t="shared" si="70"/>
        <v>-8.0358079206092944E-3</v>
      </c>
    </row>
    <row r="368" spans="1:13" x14ac:dyDescent="0.4">
      <c r="A368" s="1">
        <f t="shared" si="62"/>
        <v>18.300000000000125</v>
      </c>
      <c r="B368" s="1">
        <f t="shared" si="72"/>
        <v>2.2999999999998022E-4</v>
      </c>
      <c r="C368" s="1">
        <f t="shared" si="73"/>
        <v>4.7699999999999982E-3</v>
      </c>
      <c r="D368" s="1">
        <f t="shared" si="71"/>
        <v>0</v>
      </c>
      <c r="E368" s="1">
        <f t="shared" si="71"/>
        <v>0</v>
      </c>
      <c r="F368" s="1">
        <f t="shared" si="63"/>
        <v>2.4999999999999892E-3</v>
      </c>
      <c r="G368" s="4">
        <f t="shared" si="64"/>
        <v>-3.1622205196071729E-2</v>
      </c>
      <c r="H368" s="4">
        <f t="shared" si="65"/>
        <v>5.8238455109005614</v>
      </c>
      <c r="I368" s="3">
        <f t="shared" si="66"/>
        <v>333.68176831081286</v>
      </c>
      <c r="J368" s="2">
        <f t="shared" si="67"/>
        <v>0.8966956159838716</v>
      </c>
      <c r="K368" s="2">
        <f t="shared" si="68"/>
        <v>-0.4426476841409035</v>
      </c>
      <c r="L368" s="4">
        <f t="shared" si="69"/>
        <v>2.8642461856289221E-2</v>
      </c>
      <c r="M368" s="4">
        <f t="shared" si="70"/>
        <v>-8.091138881126907E-3</v>
      </c>
    </row>
    <row r="369" spans="1:13" x14ac:dyDescent="0.4">
      <c r="A369" s="1">
        <f t="shared" si="62"/>
        <v>18.350000000000126</v>
      </c>
      <c r="B369" s="1">
        <f t="shared" si="72"/>
        <v>2.2999999999998022E-4</v>
      </c>
      <c r="C369" s="1">
        <f t="shared" si="73"/>
        <v>4.7699999999999982E-3</v>
      </c>
      <c r="D369" s="1">
        <f t="shared" si="71"/>
        <v>0</v>
      </c>
      <c r="E369" s="1">
        <f t="shared" si="71"/>
        <v>0</v>
      </c>
      <c r="F369" s="1">
        <f t="shared" si="63"/>
        <v>2.4999999999999892E-3</v>
      </c>
      <c r="G369" s="4">
        <f t="shared" si="64"/>
        <v>-3.1622205196071729E-2</v>
      </c>
      <c r="H369" s="4">
        <f t="shared" si="65"/>
        <v>5.8222644006407576</v>
      </c>
      <c r="I369" s="3">
        <f t="shared" si="66"/>
        <v>333.59117736598125</v>
      </c>
      <c r="J369" s="2">
        <f t="shared" si="67"/>
        <v>0.89599462065182245</v>
      </c>
      <c r="K369" s="2">
        <f t="shared" si="68"/>
        <v>-0.44406490489904377</v>
      </c>
      <c r="L369" s="4">
        <f t="shared" si="69"/>
        <v>2.8754461183870698E-2</v>
      </c>
      <c r="M369" s="4">
        <f t="shared" si="70"/>
        <v>-8.1466469942392868E-3</v>
      </c>
    </row>
    <row r="370" spans="1:13" x14ac:dyDescent="0.4">
      <c r="A370" s="1">
        <f t="shared" si="62"/>
        <v>18.400000000000126</v>
      </c>
      <c r="B370" s="1">
        <f t="shared" si="72"/>
        <v>2.2999999999998022E-4</v>
      </c>
      <c r="C370" s="1">
        <f t="shared" si="73"/>
        <v>4.7699999999999982E-3</v>
      </c>
      <c r="D370" s="1">
        <f t="shared" si="71"/>
        <v>0</v>
      </c>
      <c r="E370" s="1">
        <f t="shared" si="71"/>
        <v>0</v>
      </c>
      <c r="F370" s="1">
        <f t="shared" si="63"/>
        <v>2.4999999999999892E-3</v>
      </c>
      <c r="G370" s="4">
        <f t="shared" si="64"/>
        <v>-3.1622205196071729E-2</v>
      </c>
      <c r="H370" s="4">
        <f t="shared" si="65"/>
        <v>5.8206832903809538</v>
      </c>
      <c r="I370" s="3">
        <f t="shared" si="66"/>
        <v>333.50058642114965</v>
      </c>
      <c r="J370" s="2">
        <f t="shared" si="67"/>
        <v>0.89529138541463738</v>
      </c>
      <c r="K370" s="2">
        <f t="shared" si="68"/>
        <v>-0.44548101553527425</v>
      </c>
      <c r="L370" s="4">
        <f t="shared" si="69"/>
        <v>2.8866372607047528E-2</v>
      </c>
      <c r="M370" s="4">
        <f t="shared" si="70"/>
        <v>-8.2023321211811967E-3</v>
      </c>
    </row>
    <row r="371" spans="1:13" x14ac:dyDescent="0.4">
      <c r="A371" s="1">
        <f t="shared" si="62"/>
        <v>18.450000000000127</v>
      </c>
      <c r="B371" s="1">
        <f t="shared" si="72"/>
        <v>2.2999999999998022E-4</v>
      </c>
      <c r="C371" s="1">
        <f t="shared" si="73"/>
        <v>4.7699999999999982E-3</v>
      </c>
      <c r="D371" s="1">
        <f t="shared" si="71"/>
        <v>0</v>
      </c>
      <c r="E371" s="1">
        <f t="shared" si="71"/>
        <v>0</v>
      </c>
      <c r="F371" s="1">
        <f t="shared" si="63"/>
        <v>2.4999999999999892E-3</v>
      </c>
      <c r="G371" s="4">
        <f t="shared" si="64"/>
        <v>-3.1622205196071729E-2</v>
      </c>
      <c r="H371" s="4">
        <f t="shared" si="65"/>
        <v>5.81910218012115</v>
      </c>
      <c r="I371" s="3">
        <f t="shared" si="66"/>
        <v>333.4099954763181</v>
      </c>
      <c r="J371" s="2">
        <f t="shared" si="67"/>
        <v>0.8945859120303421</v>
      </c>
      <c r="K371" s="2">
        <f t="shared" si="68"/>
        <v>-0.44689601250944394</v>
      </c>
      <c r="L371" s="4">
        <f t="shared" si="69"/>
        <v>2.8978195846051321E-2</v>
      </c>
      <c r="M371" s="4">
        <f t="shared" si="70"/>
        <v>-8.2581941227448767E-3</v>
      </c>
    </row>
    <row r="372" spans="1:13" x14ac:dyDescent="0.4">
      <c r="A372" s="1">
        <f t="shared" si="62"/>
        <v>18.500000000000128</v>
      </c>
      <c r="B372" s="1">
        <f t="shared" si="72"/>
        <v>2.2999999999998022E-4</v>
      </c>
      <c r="C372" s="1">
        <f t="shared" si="73"/>
        <v>4.7699999999999982E-3</v>
      </c>
      <c r="D372" s="1">
        <f t="shared" si="71"/>
        <v>0</v>
      </c>
      <c r="E372" s="1">
        <f t="shared" si="71"/>
        <v>0</v>
      </c>
      <c r="F372" s="1">
        <f t="shared" si="63"/>
        <v>2.4999999999999892E-3</v>
      </c>
      <c r="G372" s="4">
        <f t="shared" si="64"/>
        <v>-3.1622205196071729E-2</v>
      </c>
      <c r="H372" s="4">
        <f t="shared" si="65"/>
        <v>5.8175210698613462</v>
      </c>
      <c r="I372" s="3">
        <f t="shared" si="66"/>
        <v>333.3194045314865</v>
      </c>
      <c r="J372" s="2">
        <f t="shared" si="67"/>
        <v>0.89387820226255443</v>
      </c>
      <c r="K372" s="2">
        <f t="shared" si="68"/>
        <v>-0.4483098922841921</v>
      </c>
      <c r="L372" s="4">
        <f t="shared" si="69"/>
        <v>2.908993062133414E-2</v>
      </c>
      <c r="M372" s="4">
        <f t="shared" si="70"/>
        <v>-8.3142328592803998E-3</v>
      </c>
    </row>
    <row r="373" spans="1:13" x14ac:dyDescent="0.4">
      <c r="A373" s="1">
        <f t="shared" si="62"/>
        <v>18.550000000000129</v>
      </c>
      <c r="B373" s="1">
        <f t="shared" si="72"/>
        <v>2.2999999999998022E-4</v>
      </c>
      <c r="C373" s="1">
        <f t="shared" si="73"/>
        <v>4.7699999999999982E-3</v>
      </c>
      <c r="D373" s="1">
        <f t="shared" si="71"/>
        <v>0</v>
      </c>
      <c r="E373" s="1">
        <f t="shared" si="71"/>
        <v>0</v>
      </c>
      <c r="F373" s="1">
        <f t="shared" si="63"/>
        <v>2.4999999999999892E-3</v>
      </c>
      <c r="G373" s="4">
        <f t="shared" si="64"/>
        <v>-3.1622205196071729E-2</v>
      </c>
      <c r="H373" s="4">
        <f t="shared" si="65"/>
        <v>5.8159399596015424</v>
      </c>
      <c r="I373" s="3">
        <f t="shared" si="66"/>
        <v>333.22881358665484</v>
      </c>
      <c r="J373" s="2">
        <f t="shared" si="67"/>
        <v>0.89316825788048604</v>
      </c>
      <c r="K373" s="2">
        <f t="shared" si="68"/>
        <v>-0.44972265132494454</v>
      </c>
      <c r="L373" s="4">
        <f t="shared" si="69"/>
        <v>2.9201576653569202E-2</v>
      </c>
      <c r="M373" s="4">
        <f t="shared" si="70"/>
        <v>-8.3704481906960171E-3</v>
      </c>
    </row>
    <row r="374" spans="1:13" x14ac:dyDescent="0.4">
      <c r="A374" s="1">
        <f t="shared" si="62"/>
        <v>18.600000000000129</v>
      </c>
      <c r="B374" s="1">
        <f t="shared" si="72"/>
        <v>2.2999999999998022E-4</v>
      </c>
      <c r="C374" s="1">
        <f t="shared" si="73"/>
        <v>4.7699999999999982E-3</v>
      </c>
      <c r="D374" s="1">
        <f t="shared" si="71"/>
        <v>0</v>
      </c>
      <c r="E374" s="1">
        <f t="shared" si="71"/>
        <v>0</v>
      </c>
      <c r="F374" s="1">
        <f t="shared" si="63"/>
        <v>2.4999999999999892E-3</v>
      </c>
      <c r="G374" s="4">
        <f t="shared" si="64"/>
        <v>-3.1622205196071729E-2</v>
      </c>
      <c r="H374" s="4">
        <f t="shared" si="65"/>
        <v>5.8143588493417386</v>
      </c>
      <c r="I374" s="3">
        <f t="shared" si="66"/>
        <v>333.13822264182329</v>
      </c>
      <c r="J374" s="2">
        <f t="shared" si="67"/>
        <v>0.89245608065893178</v>
      </c>
      <c r="K374" s="2">
        <f t="shared" si="68"/>
        <v>-0.45113428609993533</v>
      </c>
      <c r="L374" s="4">
        <f t="shared" si="69"/>
        <v>2.9313133663651569E-2</v>
      </c>
      <c r="M374" s="4">
        <f t="shared" si="70"/>
        <v>-8.426839976458508E-3</v>
      </c>
    </row>
    <row r="375" spans="1:13" x14ac:dyDescent="0.4">
      <c r="A375" s="1">
        <f t="shared" si="62"/>
        <v>18.65000000000013</v>
      </c>
      <c r="B375" s="1">
        <f t="shared" si="72"/>
        <v>2.2999999999998022E-4</v>
      </c>
      <c r="C375" s="1">
        <f t="shared" si="73"/>
        <v>4.7699999999999982E-3</v>
      </c>
      <c r="D375" s="1">
        <f t="shared" si="71"/>
        <v>0</v>
      </c>
      <c r="E375" s="1">
        <f t="shared" si="71"/>
        <v>0</v>
      </c>
      <c r="F375" s="1">
        <f t="shared" si="63"/>
        <v>2.4999999999999892E-3</v>
      </c>
      <c r="G375" s="4">
        <f t="shared" si="64"/>
        <v>-3.1622205196071729E-2</v>
      </c>
      <c r="H375" s="4">
        <f t="shared" si="65"/>
        <v>5.8127777390819348</v>
      </c>
      <c r="I375" s="3">
        <f t="shared" si="66"/>
        <v>333.04763169699169</v>
      </c>
      <c r="J375" s="2">
        <f t="shared" si="67"/>
        <v>0.89174167237827162</v>
      </c>
      <c r="K375" s="2">
        <f t="shared" si="68"/>
        <v>-0.45254479308020251</v>
      </c>
      <c r="L375" s="4">
        <f t="shared" si="69"/>
        <v>2.9424601372698853E-2</v>
      </c>
      <c r="M375" s="4">
        <f t="shared" si="70"/>
        <v>-8.4834080755935327E-3</v>
      </c>
    </row>
    <row r="376" spans="1:13" x14ac:dyDescent="0.4">
      <c r="A376" s="1">
        <f t="shared" si="62"/>
        <v>18.700000000000131</v>
      </c>
      <c r="B376" s="1">
        <f t="shared" si="72"/>
        <v>2.2999999999998022E-4</v>
      </c>
      <c r="C376" s="1">
        <f t="shared" si="73"/>
        <v>4.7699999999999982E-3</v>
      </c>
      <c r="D376" s="1">
        <f t="shared" si="71"/>
        <v>0</v>
      </c>
      <c r="E376" s="1">
        <f t="shared" si="71"/>
        <v>0</v>
      </c>
      <c r="F376" s="1">
        <f t="shared" si="63"/>
        <v>2.4999999999999892E-3</v>
      </c>
      <c r="G376" s="4">
        <f t="shared" si="64"/>
        <v>-3.1622205196071729E-2</v>
      </c>
      <c r="H376" s="4">
        <f t="shared" si="65"/>
        <v>5.8111966288221311</v>
      </c>
      <c r="I376" s="3">
        <f t="shared" si="66"/>
        <v>332.95704075216014</v>
      </c>
      <c r="J376" s="2">
        <f t="shared" si="67"/>
        <v>0.89102503482445972</v>
      </c>
      <c r="K376" s="2">
        <f t="shared" si="68"/>
        <v>-0.45395416873961009</v>
      </c>
      <c r="L376" s="4">
        <f t="shared" si="69"/>
        <v>2.9535979502051911E-2</v>
      </c>
      <c r="M376" s="4">
        <f t="shared" si="70"/>
        <v>-8.5401523466859842E-3</v>
      </c>
    </row>
    <row r="377" spans="1:13" x14ac:dyDescent="0.4">
      <c r="A377" s="1">
        <f t="shared" si="62"/>
        <v>18.750000000000131</v>
      </c>
      <c r="B377" s="1">
        <f t="shared" si="72"/>
        <v>2.2999999999998022E-4</v>
      </c>
      <c r="C377" s="1">
        <f t="shared" si="73"/>
        <v>4.7699999999999982E-3</v>
      </c>
      <c r="D377" s="1">
        <f t="shared" si="71"/>
        <v>0</v>
      </c>
      <c r="E377" s="1">
        <f t="shared" si="71"/>
        <v>0</v>
      </c>
      <c r="F377" s="1">
        <f t="shared" si="63"/>
        <v>2.4999999999999892E-3</v>
      </c>
      <c r="G377" s="4">
        <f t="shared" si="64"/>
        <v>-3.1622205196071729E-2</v>
      </c>
      <c r="H377" s="4">
        <f t="shared" si="65"/>
        <v>5.8096155185623273</v>
      </c>
      <c r="I377" s="3">
        <f t="shared" si="66"/>
        <v>332.86644980732854</v>
      </c>
      <c r="J377" s="2">
        <f t="shared" si="67"/>
        <v>0.89030616978902644</v>
      </c>
      <c r="K377" s="2">
        <f t="shared" si="68"/>
        <v>-0.45536240955484369</v>
      </c>
      <c r="L377" s="4">
        <f t="shared" si="69"/>
        <v>2.9647267773275539E-2</v>
      </c>
      <c r="M377" s="4">
        <f t="shared" si="70"/>
        <v>-8.5970726478803387E-3</v>
      </c>
    </row>
    <row r="378" spans="1:13" x14ac:dyDescent="0.4">
      <c r="A378" s="1">
        <f t="shared" si="62"/>
        <v>18.800000000000132</v>
      </c>
      <c r="B378" s="1">
        <f t="shared" si="72"/>
        <v>2.2999999999998022E-4</v>
      </c>
      <c r="C378" s="1">
        <f t="shared" si="73"/>
        <v>4.7699999999999982E-3</v>
      </c>
      <c r="D378" s="1">
        <f t="shared" si="71"/>
        <v>0</v>
      </c>
      <c r="E378" s="1">
        <f t="shared" si="71"/>
        <v>0</v>
      </c>
      <c r="F378" s="1">
        <f t="shared" si="63"/>
        <v>2.4999999999999892E-3</v>
      </c>
      <c r="G378" s="4">
        <f t="shared" si="64"/>
        <v>-3.1622205196071729E-2</v>
      </c>
      <c r="H378" s="4">
        <f t="shared" si="65"/>
        <v>5.8080344083025235</v>
      </c>
      <c r="I378" s="3">
        <f t="shared" si="66"/>
        <v>332.77585886249693</v>
      </c>
      <c r="J378" s="2">
        <f t="shared" si="67"/>
        <v>0.88958507906906747</v>
      </c>
      <c r="K378" s="2">
        <f t="shared" si="68"/>
        <v>-0.45676951200543253</v>
      </c>
      <c r="L378" s="4">
        <f t="shared" si="69"/>
        <v>2.9758465908159171E-2</v>
      </c>
      <c r="M378" s="4">
        <f t="shared" si="70"/>
        <v>-8.6541688368810179E-3</v>
      </c>
    </row>
    <row r="379" spans="1:13" x14ac:dyDescent="0.4">
      <c r="A379" s="1">
        <f t="shared" si="62"/>
        <v>18.850000000000133</v>
      </c>
      <c r="B379" s="1">
        <f t="shared" si="72"/>
        <v>2.2999999999998022E-4</v>
      </c>
      <c r="C379" s="1">
        <f t="shared" si="73"/>
        <v>4.7699999999999982E-3</v>
      </c>
      <c r="D379" s="1">
        <f t="shared" si="71"/>
        <v>0</v>
      </c>
      <c r="E379" s="1">
        <f t="shared" si="71"/>
        <v>0</v>
      </c>
      <c r="F379" s="1">
        <f t="shared" si="63"/>
        <v>2.4999999999999892E-3</v>
      </c>
      <c r="G379" s="4">
        <f t="shared" si="64"/>
        <v>-3.1622205196071729E-2</v>
      </c>
      <c r="H379" s="4">
        <f t="shared" si="65"/>
        <v>5.8064532980427197</v>
      </c>
      <c r="I379" s="3">
        <f t="shared" si="66"/>
        <v>332.68526791766539</v>
      </c>
      <c r="J379" s="2">
        <f t="shared" si="67"/>
        <v>0.88886176446724574</v>
      </c>
      <c r="K379" s="2">
        <f t="shared" si="68"/>
        <v>-0.45817547257374508</v>
      </c>
      <c r="L379" s="4">
        <f t="shared" si="69"/>
        <v>2.9869573628717574E-2</v>
      </c>
      <c r="M379" s="4">
        <f t="shared" si="70"/>
        <v>-8.7114407709527365E-3</v>
      </c>
    </row>
    <row r="380" spans="1:13" x14ac:dyDescent="0.4">
      <c r="A380" s="1">
        <f t="shared" si="62"/>
        <v>18.900000000000134</v>
      </c>
      <c r="B380" s="1">
        <f t="shared" si="72"/>
        <v>2.2999999999998022E-4</v>
      </c>
      <c r="C380" s="1">
        <f t="shared" si="73"/>
        <v>4.7699999999999982E-3</v>
      </c>
      <c r="D380" s="1">
        <f t="shared" si="71"/>
        <v>0</v>
      </c>
      <c r="E380" s="1">
        <f t="shared" si="71"/>
        <v>0</v>
      </c>
      <c r="F380" s="1">
        <f t="shared" si="63"/>
        <v>2.4999999999999892E-3</v>
      </c>
      <c r="G380" s="4">
        <f t="shared" si="64"/>
        <v>-3.1622205196071729E-2</v>
      </c>
      <c r="H380" s="4">
        <f t="shared" si="65"/>
        <v>5.8048721877829159</v>
      </c>
      <c r="I380" s="3">
        <f t="shared" si="66"/>
        <v>332.59467697283372</v>
      </c>
      <c r="J380" s="2">
        <f t="shared" si="67"/>
        <v>0.88813622779178025</v>
      </c>
      <c r="K380" s="2">
        <f t="shared" si="68"/>
        <v>-0.45958028774501086</v>
      </c>
      <c r="L380" s="4">
        <f t="shared" si="69"/>
        <v>2.9980590657191546E-2</v>
      </c>
      <c r="M380" s="4">
        <f t="shared" si="70"/>
        <v>-8.7688883069208627E-3</v>
      </c>
    </row>
    <row r="381" spans="1:13" x14ac:dyDescent="0.4">
      <c r="A381" s="1">
        <f t="shared" si="62"/>
        <v>18.950000000000134</v>
      </c>
      <c r="B381" s="1">
        <f t="shared" si="72"/>
        <v>2.2999999999998022E-4</v>
      </c>
      <c r="C381" s="1">
        <f t="shared" si="73"/>
        <v>4.7699999999999982E-3</v>
      </c>
      <c r="D381" s="1">
        <f t="shared" si="71"/>
        <v>0</v>
      </c>
      <c r="E381" s="1">
        <f t="shared" si="71"/>
        <v>0</v>
      </c>
      <c r="F381" s="1">
        <f t="shared" si="63"/>
        <v>2.4999999999999892E-3</v>
      </c>
      <c r="G381" s="4">
        <f t="shared" si="64"/>
        <v>-3.1622205196071729E-2</v>
      </c>
      <c r="H381" s="4">
        <f t="shared" si="65"/>
        <v>5.8032910775231121</v>
      </c>
      <c r="I381" s="3">
        <f t="shared" si="66"/>
        <v>332.50408602800212</v>
      </c>
      <c r="J381" s="2">
        <f t="shared" si="67"/>
        <v>0.88740847085644858</v>
      </c>
      <c r="K381" s="2">
        <f t="shared" si="68"/>
        <v>-0.46098395400731645</v>
      </c>
      <c r="L381" s="4">
        <f t="shared" si="69"/>
        <v>3.0091516716048601E-2</v>
      </c>
      <c r="M381" s="4">
        <f t="shared" si="70"/>
        <v>-8.8265113011717772E-3</v>
      </c>
    </row>
    <row r="382" spans="1:13" x14ac:dyDescent="0.4">
      <c r="A382" s="1">
        <f t="shared" si="62"/>
        <v>19.000000000000135</v>
      </c>
      <c r="B382" s="1">
        <f t="shared" si="72"/>
        <v>2.2999999999998022E-4</v>
      </c>
      <c r="C382" s="1">
        <f t="shared" si="73"/>
        <v>4.7699999999999982E-3</v>
      </c>
      <c r="D382" s="1">
        <f t="shared" si="71"/>
        <v>0</v>
      </c>
      <c r="E382" s="1">
        <f t="shared" si="71"/>
        <v>0</v>
      </c>
      <c r="F382" s="1">
        <f t="shared" si="63"/>
        <v>2.4999999999999892E-3</v>
      </c>
      <c r="G382" s="4">
        <f t="shared" si="64"/>
        <v>-3.1622205196071729E-2</v>
      </c>
      <c r="H382" s="4">
        <f t="shared" si="65"/>
        <v>5.8017099672633083</v>
      </c>
      <c r="I382" s="3">
        <f t="shared" si="66"/>
        <v>332.41349508317057</v>
      </c>
      <c r="J382" s="2">
        <f t="shared" si="67"/>
        <v>0.8866784954805752</v>
      </c>
      <c r="K382" s="2">
        <f t="shared" si="68"/>
        <v>-0.4623864678516269</v>
      </c>
      <c r="L382" s="4">
        <f t="shared" si="69"/>
        <v>3.0202351527983673E-2</v>
      </c>
      <c r="M382" s="4">
        <f t="shared" si="70"/>
        <v>-8.8843096096532306E-3</v>
      </c>
    </row>
    <row r="383" spans="1:13" x14ac:dyDescent="0.4">
      <c r="A383" s="1">
        <f t="shared" si="62"/>
        <v>19.050000000000136</v>
      </c>
      <c r="B383" s="1">
        <f t="shared" si="72"/>
        <v>2.2999999999998022E-4</v>
      </c>
      <c r="C383" s="1">
        <f t="shared" si="73"/>
        <v>4.7699999999999982E-3</v>
      </c>
      <c r="D383" s="1">
        <f t="shared" si="71"/>
        <v>0</v>
      </c>
      <c r="E383" s="1">
        <f t="shared" si="71"/>
        <v>0</v>
      </c>
      <c r="F383" s="1">
        <f t="shared" si="63"/>
        <v>2.4999999999999892E-3</v>
      </c>
      <c r="G383" s="4">
        <f t="shared" si="64"/>
        <v>-3.1622205196071729E-2</v>
      </c>
      <c r="H383" s="4">
        <f t="shared" si="65"/>
        <v>5.8001288570035046</v>
      </c>
      <c r="I383" s="3">
        <f t="shared" si="66"/>
        <v>332.32290413833897</v>
      </c>
      <c r="J383" s="2">
        <f t="shared" si="67"/>
        <v>0.88594630348903392</v>
      </c>
      <c r="K383" s="2">
        <f t="shared" si="68"/>
        <v>-0.4637878257717819</v>
      </c>
      <c r="L383" s="4">
        <f t="shared" si="69"/>
        <v>3.0313094815919803E-2</v>
      </c>
      <c r="M383" s="4">
        <f t="shared" si="70"/>
        <v>-8.9422830878747028E-3</v>
      </c>
    </row>
    <row r="384" spans="1:13" x14ac:dyDescent="0.4">
      <c r="A384" s="1">
        <f t="shared" si="62"/>
        <v>19.100000000000136</v>
      </c>
      <c r="B384" s="1">
        <f t="shared" si="72"/>
        <v>2.2999999999998022E-4</v>
      </c>
      <c r="C384" s="1">
        <f t="shared" si="73"/>
        <v>4.7699999999999982E-3</v>
      </c>
      <c r="D384" s="1">
        <f t="shared" si="71"/>
        <v>0</v>
      </c>
      <c r="E384" s="1">
        <f t="shared" si="71"/>
        <v>0</v>
      </c>
      <c r="F384" s="1">
        <f t="shared" si="63"/>
        <v>2.4999999999999892E-3</v>
      </c>
      <c r="G384" s="4">
        <f t="shared" si="64"/>
        <v>-3.1622205196071729E-2</v>
      </c>
      <c r="H384" s="4">
        <f t="shared" si="65"/>
        <v>5.7985477467437008</v>
      </c>
      <c r="I384" s="3">
        <f t="shared" si="66"/>
        <v>332.23231319350742</v>
      </c>
      <c r="J384" s="2">
        <f t="shared" si="67"/>
        <v>0.88521189671223643</v>
      </c>
      <c r="K384" s="2">
        <f t="shared" si="68"/>
        <v>-0.46518802426451705</v>
      </c>
      <c r="L384" s="4">
        <f t="shared" si="69"/>
        <v>3.0423746303008831E-2</v>
      </c>
      <c r="M384" s="4">
        <f t="shared" si="70"/>
        <v>-9.0004315909077669E-3</v>
      </c>
    </row>
    <row r="385" spans="1:13" x14ac:dyDescent="0.4">
      <c r="A385" s="1">
        <f t="shared" si="62"/>
        <v>19.150000000000137</v>
      </c>
      <c r="B385" s="1">
        <f t="shared" si="72"/>
        <v>2.2999999999998022E-4</v>
      </c>
      <c r="C385" s="1">
        <f t="shared" si="73"/>
        <v>4.7699999999999982E-3</v>
      </c>
      <c r="D385" s="1">
        <f t="shared" si="71"/>
        <v>0</v>
      </c>
      <c r="E385" s="1">
        <f t="shared" si="71"/>
        <v>0</v>
      </c>
      <c r="F385" s="1">
        <f t="shared" si="63"/>
        <v>2.4999999999999892E-3</v>
      </c>
      <c r="G385" s="4">
        <f t="shared" si="64"/>
        <v>-3.1622205196071729E-2</v>
      </c>
      <c r="H385" s="4">
        <f t="shared" si="65"/>
        <v>5.796966636483897</v>
      </c>
      <c r="I385" s="3">
        <f t="shared" si="66"/>
        <v>332.14172224867582</v>
      </c>
      <c r="J385" s="2">
        <f t="shared" si="67"/>
        <v>0.8844752769861346</v>
      </c>
      <c r="K385" s="2">
        <f t="shared" si="68"/>
        <v>-0.46658705982946036</v>
      </c>
      <c r="L385" s="4">
        <f t="shared" si="69"/>
        <v>3.0534305712632097E-2</v>
      </c>
      <c r="M385" s="4">
        <f t="shared" si="70"/>
        <v>-9.05875497338645E-3</v>
      </c>
    </row>
    <row r="386" spans="1:13" x14ac:dyDescent="0.4">
      <c r="A386" s="1">
        <f t="shared" si="62"/>
        <v>19.200000000000138</v>
      </c>
      <c r="B386" s="1">
        <f t="shared" si="72"/>
        <v>2.2999999999998022E-4</v>
      </c>
      <c r="C386" s="1">
        <f t="shared" si="73"/>
        <v>4.7699999999999982E-3</v>
      </c>
      <c r="D386" s="1">
        <f t="shared" si="71"/>
        <v>0</v>
      </c>
      <c r="E386" s="1">
        <f t="shared" si="71"/>
        <v>0</v>
      </c>
      <c r="F386" s="1">
        <f t="shared" si="63"/>
        <v>2.4999999999999892E-3</v>
      </c>
      <c r="G386" s="4">
        <f t="shared" si="64"/>
        <v>-3.1622205196071729E-2</v>
      </c>
      <c r="H386" s="4">
        <f t="shared" si="65"/>
        <v>5.7953855262240932</v>
      </c>
      <c r="I386" s="3">
        <f t="shared" si="66"/>
        <v>332.05113130384427</v>
      </c>
      <c r="J386" s="2">
        <f t="shared" si="67"/>
        <v>0.88373644615220937</v>
      </c>
      <c r="K386" s="2">
        <f t="shared" si="68"/>
        <v>-0.46798492896915306</v>
      </c>
      <c r="L386" s="4">
        <f t="shared" si="69"/>
        <v>3.0644772768401121E-2</v>
      </c>
      <c r="M386" s="4">
        <f t="shared" si="70"/>
        <v>-9.1172530895075946E-3</v>
      </c>
    </row>
    <row r="387" spans="1:13" x14ac:dyDescent="0.4">
      <c r="A387" s="1">
        <f t="shared" si="62"/>
        <v>19.250000000000139</v>
      </c>
      <c r="B387" s="1">
        <f t="shared" si="72"/>
        <v>2.2999999999998022E-4</v>
      </c>
      <c r="C387" s="1">
        <f t="shared" si="73"/>
        <v>4.7699999999999982E-3</v>
      </c>
      <c r="D387" s="1">
        <f t="shared" si="71"/>
        <v>0</v>
      </c>
      <c r="E387" s="1">
        <f t="shared" si="71"/>
        <v>0</v>
      </c>
      <c r="F387" s="1">
        <f t="shared" si="63"/>
        <v>2.4999999999999892E-3</v>
      </c>
      <c r="G387" s="4">
        <f t="shared" si="64"/>
        <v>-3.1622205196071729E-2</v>
      </c>
      <c r="H387" s="4">
        <f t="shared" si="65"/>
        <v>5.7938044159642894</v>
      </c>
      <c r="I387" s="3">
        <f t="shared" si="66"/>
        <v>331.96054035901261</v>
      </c>
      <c r="J387" s="2">
        <f t="shared" si="67"/>
        <v>0.88299540605747207</v>
      </c>
      <c r="K387" s="2">
        <f t="shared" si="68"/>
        <v>-0.46938162818904622</v>
      </c>
      <c r="L387" s="4">
        <f t="shared" si="69"/>
        <v>3.0755147194158304E-2</v>
      </c>
      <c r="M387" s="4">
        <f t="shared" si="70"/>
        <v>-9.1759257930312255E-3</v>
      </c>
    </row>
    <row r="388" spans="1:13" x14ac:dyDescent="0.4">
      <c r="A388" s="1">
        <f t="shared" ref="A388:A402" si="74">A387+$P$3</f>
        <v>19.300000000000139</v>
      </c>
      <c r="B388" s="1">
        <f t="shared" si="72"/>
        <v>2.2999999999998022E-4</v>
      </c>
      <c r="C388" s="1">
        <f t="shared" si="73"/>
        <v>4.7699999999999982E-3</v>
      </c>
      <c r="D388" s="1">
        <f t="shared" si="71"/>
        <v>0</v>
      </c>
      <c r="E388" s="1">
        <f t="shared" si="71"/>
        <v>0</v>
      </c>
      <c r="F388" s="1">
        <f t="shared" ref="F388:F402" si="75">(B388+C388)/2</f>
        <v>2.4999999999999892E-3</v>
      </c>
      <c r="G388" s="4">
        <f t="shared" ref="G388:G402" si="76">(B388-C388)/R$3</f>
        <v>-3.1622205196071729E-2</v>
      </c>
      <c r="H388" s="4">
        <f t="shared" ref="H388:H402" si="77">H387+G388*P$3</f>
        <v>5.7922233057044856</v>
      </c>
      <c r="I388" s="3">
        <f t="shared" ref="I388:I402" si="78">H388*180/PI()</f>
        <v>331.86994941418101</v>
      </c>
      <c r="J388" s="2">
        <f t="shared" ref="J388:J402" si="79">COS((H388+H387)/2)</f>
        <v>0.88225215855445416</v>
      </c>
      <c r="K388" s="2">
        <f t="shared" ref="K388:K402" si="80">SIN((H388+H387)/2)</f>
        <v>-0.47077715399752179</v>
      </c>
      <c r="L388" s="4">
        <f t="shared" ref="L388:L402" si="81">L387+F388*P$3*J388</f>
        <v>3.086542871397761E-2</v>
      </c>
      <c r="M388" s="4">
        <f t="shared" ref="M388:M402" si="82">M387+F388*P$3*K388</f>
        <v>-9.2347729372809148E-3</v>
      </c>
    </row>
    <row r="389" spans="1:13" x14ac:dyDescent="0.4">
      <c r="A389" s="1">
        <f t="shared" si="74"/>
        <v>19.35000000000014</v>
      </c>
      <c r="B389" s="1">
        <f t="shared" si="72"/>
        <v>2.2999999999998022E-4</v>
      </c>
      <c r="C389" s="1">
        <f t="shared" si="73"/>
        <v>4.7699999999999982E-3</v>
      </c>
      <c r="D389" s="1">
        <f t="shared" ref="D389:E402" si="83">(B389-B388)/$P$3</f>
        <v>0</v>
      </c>
      <c r="E389" s="1">
        <f t="shared" si="83"/>
        <v>0</v>
      </c>
      <c r="F389" s="1">
        <f t="shared" si="75"/>
        <v>2.4999999999999892E-3</v>
      </c>
      <c r="G389" s="4">
        <f t="shared" si="76"/>
        <v>-3.1622205196071729E-2</v>
      </c>
      <c r="H389" s="4">
        <f t="shared" si="77"/>
        <v>5.7906421954446818</v>
      </c>
      <c r="I389" s="3">
        <f t="shared" si="78"/>
        <v>331.77935846934946</v>
      </c>
      <c r="J389" s="2">
        <f t="shared" si="79"/>
        <v>0.88150670550120835</v>
      </c>
      <c r="K389" s="2">
        <f t="shared" si="80"/>
        <v>-0.47217150290588905</v>
      </c>
      <c r="L389" s="4">
        <f t="shared" si="81"/>
        <v>3.0975617052165262E-2</v>
      </c>
      <c r="M389" s="4">
        <f t="shared" si="82"/>
        <v>-9.2937943751441512E-3</v>
      </c>
    </row>
    <row r="390" spans="1:13" x14ac:dyDescent="0.4">
      <c r="A390" s="1">
        <f t="shared" si="74"/>
        <v>19.400000000000141</v>
      </c>
      <c r="B390" s="1">
        <f t="shared" si="72"/>
        <v>2.2999999999998022E-4</v>
      </c>
      <c r="C390" s="1">
        <f t="shared" si="73"/>
        <v>4.7699999999999982E-3</v>
      </c>
      <c r="D390" s="1">
        <f t="shared" si="83"/>
        <v>0</v>
      </c>
      <c r="E390" s="1">
        <f t="shared" si="83"/>
        <v>0</v>
      </c>
      <c r="F390" s="1">
        <f t="shared" si="75"/>
        <v>2.4999999999999892E-3</v>
      </c>
      <c r="G390" s="4">
        <f t="shared" si="76"/>
        <v>-3.1622205196071729E-2</v>
      </c>
      <c r="H390" s="4">
        <f t="shared" si="77"/>
        <v>5.7890610851848781</v>
      </c>
      <c r="I390" s="3">
        <f t="shared" si="78"/>
        <v>331.68876752451786</v>
      </c>
      <c r="J390" s="2">
        <f t="shared" si="79"/>
        <v>0.88075904876129796</v>
      </c>
      <c r="K390" s="2">
        <f t="shared" si="80"/>
        <v>-0.47356467142840541</v>
      </c>
      <c r="L390" s="4">
        <f t="shared" si="81"/>
        <v>3.1085711933260422E-2</v>
      </c>
      <c r="M390" s="4">
        <f t="shared" si="82"/>
        <v>-9.3529899590727023E-3</v>
      </c>
    </row>
    <row r="391" spans="1:13" x14ac:dyDescent="0.4">
      <c r="A391" s="1">
        <f t="shared" si="74"/>
        <v>19.450000000000141</v>
      </c>
      <c r="B391" s="1">
        <f t="shared" ref="B391:B402" si="84">B390</f>
        <v>2.2999999999998022E-4</v>
      </c>
      <c r="C391" s="1">
        <f t="shared" ref="C391:C402" si="85">C390</f>
        <v>4.7699999999999982E-3</v>
      </c>
      <c r="D391" s="1">
        <f t="shared" si="83"/>
        <v>0</v>
      </c>
      <c r="E391" s="1">
        <f t="shared" si="83"/>
        <v>0</v>
      </c>
      <c r="F391" s="1">
        <f t="shared" si="75"/>
        <v>2.4999999999999892E-3</v>
      </c>
      <c r="G391" s="4">
        <f t="shared" si="76"/>
        <v>-3.1622205196071729E-2</v>
      </c>
      <c r="H391" s="4">
        <f t="shared" si="77"/>
        <v>5.7874799749250743</v>
      </c>
      <c r="I391" s="3">
        <f t="shared" si="78"/>
        <v>331.59817657968625</v>
      </c>
      <c r="J391" s="2">
        <f t="shared" si="79"/>
        <v>0.88000919020379853</v>
      </c>
      <c r="K391" s="2">
        <f t="shared" si="80"/>
        <v>-0.47495665608227317</v>
      </c>
      <c r="L391" s="4">
        <f t="shared" si="81"/>
        <v>3.1195713082035895E-2</v>
      </c>
      <c r="M391" s="4">
        <f t="shared" si="82"/>
        <v>-9.4123595410829861E-3</v>
      </c>
    </row>
    <row r="392" spans="1:13" x14ac:dyDescent="0.4">
      <c r="A392" s="1">
        <f t="shared" si="74"/>
        <v>19.500000000000142</v>
      </c>
      <c r="B392" s="1">
        <f t="shared" si="84"/>
        <v>2.2999999999998022E-4</v>
      </c>
      <c r="C392" s="1">
        <f t="shared" si="85"/>
        <v>4.7699999999999982E-3</v>
      </c>
      <c r="D392" s="1">
        <f t="shared" si="83"/>
        <v>0</v>
      </c>
      <c r="E392" s="1">
        <f t="shared" si="83"/>
        <v>0</v>
      </c>
      <c r="F392" s="1">
        <f t="shared" si="75"/>
        <v>2.4999999999999892E-3</v>
      </c>
      <c r="G392" s="4">
        <f t="shared" si="76"/>
        <v>-3.1622205196071729E-2</v>
      </c>
      <c r="H392" s="4">
        <f t="shared" si="77"/>
        <v>5.7858988646652705</v>
      </c>
      <c r="I392" s="3">
        <f t="shared" si="78"/>
        <v>331.50758563485471</v>
      </c>
      <c r="J392" s="2">
        <f t="shared" si="79"/>
        <v>0.87925713170328668</v>
      </c>
      <c r="K392" s="2">
        <f t="shared" si="80"/>
        <v>-0.47634745338766021</v>
      </c>
      <c r="L392" s="4">
        <f t="shared" si="81"/>
        <v>3.1305620223498809E-2</v>
      </c>
      <c r="M392" s="4">
        <f t="shared" si="82"/>
        <v>-9.4719029727564439E-3</v>
      </c>
    </row>
    <row r="393" spans="1:13" x14ac:dyDescent="0.4">
      <c r="A393" s="1">
        <f t="shared" si="74"/>
        <v>19.550000000000143</v>
      </c>
      <c r="B393" s="1">
        <f t="shared" si="84"/>
        <v>2.2999999999998022E-4</v>
      </c>
      <c r="C393" s="1">
        <f t="shared" si="85"/>
        <v>4.7699999999999982E-3</v>
      </c>
      <c r="D393" s="1">
        <f t="shared" si="83"/>
        <v>0</v>
      </c>
      <c r="E393" s="1">
        <f t="shared" si="83"/>
        <v>0</v>
      </c>
      <c r="F393" s="1">
        <f t="shared" si="75"/>
        <v>2.4999999999999892E-3</v>
      </c>
      <c r="G393" s="4">
        <f t="shared" si="76"/>
        <v>-3.1622205196071729E-2</v>
      </c>
      <c r="H393" s="4">
        <f t="shared" si="77"/>
        <v>5.7843177544054667</v>
      </c>
      <c r="I393" s="3">
        <f t="shared" si="78"/>
        <v>331.4169946900231</v>
      </c>
      <c r="J393" s="2">
        <f t="shared" si="79"/>
        <v>0.87850287513984204</v>
      </c>
      <c r="K393" s="2">
        <f t="shared" si="80"/>
        <v>-0.47773705986769655</v>
      </c>
      <c r="L393" s="4">
        <f t="shared" si="81"/>
        <v>3.1415433082891291E-2</v>
      </c>
      <c r="M393" s="4">
        <f t="shared" si="82"/>
        <v>-9.5316201052399064E-3</v>
      </c>
    </row>
    <row r="394" spans="1:13" x14ac:dyDescent="0.4">
      <c r="A394" s="1">
        <f t="shared" si="74"/>
        <v>19.600000000000144</v>
      </c>
      <c r="B394" s="1">
        <f t="shared" si="84"/>
        <v>2.2999999999998022E-4</v>
      </c>
      <c r="C394" s="1">
        <f t="shared" si="85"/>
        <v>4.7699999999999982E-3</v>
      </c>
      <c r="D394" s="1">
        <f t="shared" si="83"/>
        <v>0</v>
      </c>
      <c r="E394" s="1">
        <f t="shared" si="83"/>
        <v>0</v>
      </c>
      <c r="F394" s="1">
        <f t="shared" si="75"/>
        <v>2.4999999999999892E-3</v>
      </c>
      <c r="G394" s="4">
        <f t="shared" si="76"/>
        <v>-3.1622205196071729E-2</v>
      </c>
      <c r="H394" s="4">
        <f t="shared" si="77"/>
        <v>5.7827366441456629</v>
      </c>
      <c r="I394" s="3">
        <f t="shared" si="78"/>
        <v>331.32640374519144</v>
      </c>
      <c r="J394" s="2">
        <f t="shared" si="79"/>
        <v>0.87774642239903578</v>
      </c>
      <c r="K394" s="2">
        <f t="shared" si="80"/>
        <v>-0.47912547204849537</v>
      </c>
      <c r="L394" s="4">
        <f t="shared" si="81"/>
        <v>3.1525151385691168E-2</v>
      </c>
      <c r="M394" s="4">
        <f t="shared" si="82"/>
        <v>-9.5915107892459682E-3</v>
      </c>
    </row>
    <row r="395" spans="1:13" x14ac:dyDescent="0.4">
      <c r="A395" s="1">
        <f t="shared" si="74"/>
        <v>19.650000000000144</v>
      </c>
      <c r="B395" s="1">
        <f t="shared" si="84"/>
        <v>2.2999999999998022E-4</v>
      </c>
      <c r="C395" s="1">
        <f t="shared" si="85"/>
        <v>4.7699999999999982E-3</v>
      </c>
      <c r="D395" s="1">
        <f t="shared" si="83"/>
        <v>0</v>
      </c>
      <c r="E395" s="1">
        <f t="shared" si="83"/>
        <v>0</v>
      </c>
      <c r="F395" s="1">
        <f t="shared" si="75"/>
        <v>2.4999999999999892E-3</v>
      </c>
      <c r="G395" s="4">
        <f t="shared" si="76"/>
        <v>-3.1622205196071729E-2</v>
      </c>
      <c r="H395" s="4">
        <f t="shared" si="77"/>
        <v>5.7811555338858591</v>
      </c>
      <c r="I395" s="3">
        <f t="shared" si="78"/>
        <v>331.23581280035989</v>
      </c>
      <c r="J395" s="2">
        <f t="shared" si="79"/>
        <v>0.87698777537193262</v>
      </c>
      <c r="K395" s="2">
        <f t="shared" si="80"/>
        <v>-0.4805126864591493</v>
      </c>
      <c r="L395" s="4">
        <f t="shared" si="81"/>
        <v>3.1634774857612659E-2</v>
      </c>
      <c r="M395" s="4">
        <f t="shared" si="82"/>
        <v>-9.6515748750533609E-3</v>
      </c>
    </row>
    <row r="396" spans="1:13" x14ac:dyDescent="0.4">
      <c r="A396" s="1">
        <f t="shared" si="74"/>
        <v>19.700000000000145</v>
      </c>
      <c r="B396" s="1">
        <f t="shared" si="84"/>
        <v>2.2999999999998022E-4</v>
      </c>
      <c r="C396" s="1">
        <f t="shared" si="85"/>
        <v>4.7699999999999982E-3</v>
      </c>
      <c r="D396" s="1">
        <f t="shared" si="83"/>
        <v>0</v>
      </c>
      <c r="E396" s="1">
        <f t="shared" si="83"/>
        <v>0</v>
      </c>
      <c r="F396" s="1">
        <f t="shared" si="75"/>
        <v>2.4999999999999892E-3</v>
      </c>
      <c r="G396" s="4">
        <f t="shared" si="76"/>
        <v>-3.1622205196071729E-2</v>
      </c>
      <c r="H396" s="4">
        <f t="shared" si="77"/>
        <v>5.7795744236260553</v>
      </c>
      <c r="I396" s="3">
        <f t="shared" si="78"/>
        <v>331.14522185552829</v>
      </c>
      <c r="J396" s="2">
        <f t="shared" si="79"/>
        <v>0.8762269359550795</v>
      </c>
      <c r="K396" s="2">
        <f t="shared" si="80"/>
        <v>-0.48189869963175141</v>
      </c>
      <c r="L396" s="4">
        <f t="shared" si="81"/>
        <v>3.1744303224607043E-2</v>
      </c>
      <c r="M396" s="4">
        <f t="shared" si="82"/>
        <v>-9.7118122125073297E-3</v>
      </c>
    </row>
    <row r="397" spans="1:13" x14ac:dyDescent="0.4">
      <c r="A397" s="1">
        <f t="shared" si="74"/>
        <v>19.750000000000146</v>
      </c>
      <c r="B397" s="1">
        <f t="shared" si="84"/>
        <v>2.2999999999998022E-4</v>
      </c>
      <c r="C397" s="1">
        <f t="shared" si="85"/>
        <v>4.7699999999999982E-3</v>
      </c>
      <c r="D397" s="1">
        <f t="shared" si="83"/>
        <v>0</v>
      </c>
      <c r="E397" s="1">
        <f t="shared" si="83"/>
        <v>0</v>
      </c>
      <c r="F397" s="1">
        <f t="shared" si="75"/>
        <v>2.4999999999999892E-3</v>
      </c>
      <c r="G397" s="4">
        <f t="shared" si="76"/>
        <v>-3.1622205196071729E-2</v>
      </c>
      <c r="H397" s="4">
        <f t="shared" si="77"/>
        <v>5.7779933133662515</v>
      </c>
      <c r="I397" s="3">
        <f t="shared" si="78"/>
        <v>331.05463091069674</v>
      </c>
      <c r="J397" s="2">
        <f t="shared" si="79"/>
        <v>0.87546390605050761</v>
      </c>
      <c r="K397" s="2">
        <f t="shared" si="80"/>
        <v>-0.4832835081013917</v>
      </c>
      <c r="L397" s="4">
        <f t="shared" si="81"/>
        <v>3.1853736212863352E-2</v>
      </c>
      <c r="M397" s="4">
        <f t="shared" si="82"/>
        <v>-9.7722226510200041E-3</v>
      </c>
    </row>
    <row r="398" spans="1:13" x14ac:dyDescent="0.4">
      <c r="A398" s="1">
        <f t="shared" si="74"/>
        <v>19.800000000000146</v>
      </c>
      <c r="B398" s="1">
        <f t="shared" si="84"/>
        <v>2.2999999999998022E-4</v>
      </c>
      <c r="C398" s="1">
        <f t="shared" si="85"/>
        <v>4.7699999999999982E-3</v>
      </c>
      <c r="D398" s="1">
        <f t="shared" si="83"/>
        <v>0</v>
      </c>
      <c r="E398" s="1">
        <f t="shared" si="83"/>
        <v>0</v>
      </c>
      <c r="F398" s="1">
        <f t="shared" si="75"/>
        <v>2.4999999999999892E-3</v>
      </c>
      <c r="G398" s="4">
        <f t="shared" si="76"/>
        <v>-3.1622205196071729E-2</v>
      </c>
      <c r="H398" s="4">
        <f t="shared" si="77"/>
        <v>5.7764122031064478</v>
      </c>
      <c r="I398" s="3">
        <f t="shared" si="78"/>
        <v>330.96403996586514</v>
      </c>
      <c r="J398" s="2">
        <f t="shared" si="79"/>
        <v>0.87469868756572067</v>
      </c>
      <c r="K398" s="2">
        <f t="shared" si="80"/>
        <v>-0.48466710840617783</v>
      </c>
      <c r="L398" s="4">
        <f t="shared" si="81"/>
        <v>3.1963073548809069E-2</v>
      </c>
      <c r="M398" s="4">
        <f t="shared" si="82"/>
        <v>-9.8328060395707767E-3</v>
      </c>
    </row>
    <row r="399" spans="1:13" x14ac:dyDescent="0.4">
      <c r="A399" s="1">
        <f t="shared" si="74"/>
        <v>19.850000000000147</v>
      </c>
      <c r="B399" s="1">
        <f t="shared" si="84"/>
        <v>2.2999999999998022E-4</v>
      </c>
      <c r="C399" s="1">
        <f t="shared" si="85"/>
        <v>4.7699999999999982E-3</v>
      </c>
      <c r="D399" s="1">
        <f t="shared" si="83"/>
        <v>0</v>
      </c>
      <c r="E399" s="1">
        <f t="shared" si="83"/>
        <v>0</v>
      </c>
      <c r="F399" s="1">
        <f t="shared" si="75"/>
        <v>2.4999999999999892E-3</v>
      </c>
      <c r="G399" s="4">
        <f t="shared" si="76"/>
        <v>-3.1622205196071729E-2</v>
      </c>
      <c r="H399" s="4">
        <f t="shared" si="77"/>
        <v>5.774831092846644</v>
      </c>
      <c r="I399" s="3">
        <f t="shared" si="78"/>
        <v>330.87344902103354</v>
      </c>
      <c r="J399" s="2">
        <f t="shared" si="79"/>
        <v>0.87393128241369711</v>
      </c>
      <c r="K399" s="2">
        <f t="shared" si="80"/>
        <v>-0.48604949708723172</v>
      </c>
      <c r="L399" s="4">
        <f t="shared" si="81"/>
        <v>3.2072314959110781E-2</v>
      </c>
      <c r="M399" s="4">
        <f t="shared" si="82"/>
        <v>-9.893562226706681E-3</v>
      </c>
    </row>
    <row r="400" spans="1:13" x14ac:dyDescent="0.4">
      <c r="A400" s="1">
        <f t="shared" si="74"/>
        <v>19.900000000000148</v>
      </c>
      <c r="B400" s="1">
        <f t="shared" si="84"/>
        <v>2.2999999999998022E-4</v>
      </c>
      <c r="C400" s="1">
        <f t="shared" si="85"/>
        <v>4.7699999999999982E-3</v>
      </c>
      <c r="D400" s="1">
        <f t="shared" si="83"/>
        <v>0</v>
      </c>
      <c r="E400" s="1">
        <f t="shared" si="83"/>
        <v>0</v>
      </c>
      <c r="F400" s="1">
        <f t="shared" si="75"/>
        <v>2.4999999999999892E-3</v>
      </c>
      <c r="G400" s="4">
        <f t="shared" si="76"/>
        <v>-3.1622205196071729E-2</v>
      </c>
      <c r="H400" s="4">
        <f t="shared" si="77"/>
        <v>5.7732499825868402</v>
      </c>
      <c r="I400" s="3">
        <f t="shared" si="78"/>
        <v>330.78285807620199</v>
      </c>
      <c r="J400" s="2">
        <f t="shared" si="79"/>
        <v>0.87316169251287812</v>
      </c>
      <c r="K400" s="2">
        <f t="shared" si="80"/>
        <v>-0.48743067068871038</v>
      </c>
      <c r="L400" s="4">
        <f t="shared" si="81"/>
        <v>3.2181460170674893E-2</v>
      </c>
      <c r="M400" s="4">
        <f t="shared" si="82"/>
        <v>-9.9544910605427698E-3</v>
      </c>
    </row>
    <row r="401" spans="1:13" x14ac:dyDescent="0.4">
      <c r="A401" s="1">
        <f t="shared" si="74"/>
        <v>19.950000000000149</v>
      </c>
      <c r="B401" s="1">
        <f t="shared" si="84"/>
        <v>2.2999999999998022E-4</v>
      </c>
      <c r="C401" s="1">
        <f t="shared" si="85"/>
        <v>4.7699999999999982E-3</v>
      </c>
      <c r="D401" s="1">
        <f t="shared" si="83"/>
        <v>0</v>
      </c>
      <c r="E401" s="1">
        <f t="shared" si="83"/>
        <v>0</v>
      </c>
      <c r="F401" s="1">
        <f t="shared" si="75"/>
        <v>2.4999999999999892E-3</v>
      </c>
      <c r="G401" s="4">
        <f t="shared" si="76"/>
        <v>-3.1622205196071729E-2</v>
      </c>
      <c r="H401" s="4">
        <f t="shared" si="77"/>
        <v>5.7716688723270364</v>
      </c>
      <c r="I401" s="3">
        <f t="shared" si="78"/>
        <v>330.69226713137033</v>
      </c>
      <c r="J401" s="2">
        <f t="shared" si="79"/>
        <v>0.87238991978717051</v>
      </c>
      <c r="K401" s="2">
        <f t="shared" si="80"/>
        <v>-0.48881062575780221</v>
      </c>
      <c r="L401" s="4">
        <f t="shared" si="81"/>
        <v>3.2290508910648288E-2</v>
      </c>
      <c r="M401" s="4">
        <f t="shared" si="82"/>
        <v>-1.0015592388762495E-2</v>
      </c>
    </row>
    <row r="402" spans="1:13" x14ac:dyDescent="0.4">
      <c r="A402" s="1">
        <f t="shared" si="74"/>
        <v>20.000000000000149</v>
      </c>
      <c r="B402" s="1">
        <f t="shared" si="84"/>
        <v>2.2999999999998022E-4</v>
      </c>
      <c r="C402" s="1">
        <f t="shared" si="85"/>
        <v>4.7699999999999982E-3</v>
      </c>
      <c r="D402" s="1">
        <f t="shared" si="83"/>
        <v>0</v>
      </c>
      <c r="E402" s="1">
        <f t="shared" si="83"/>
        <v>0</v>
      </c>
      <c r="F402" s="1">
        <f t="shared" si="75"/>
        <v>2.4999999999999892E-3</v>
      </c>
      <c r="G402" s="4">
        <f t="shared" si="76"/>
        <v>-3.1622205196071729E-2</v>
      </c>
      <c r="H402" s="4">
        <f t="shared" si="77"/>
        <v>5.7700877620672326</v>
      </c>
      <c r="I402" s="3">
        <f t="shared" si="78"/>
        <v>330.60167618653873</v>
      </c>
      <c r="J402" s="2">
        <f t="shared" si="79"/>
        <v>0.87161596616593418</v>
      </c>
      <c r="K402" s="2">
        <f t="shared" si="80"/>
        <v>-0.49018935884474796</v>
      </c>
      <c r="L402" s="4">
        <f t="shared" si="81"/>
        <v>3.2399460906419028E-2</v>
      </c>
      <c r="M402" s="4">
        <f t="shared" si="82"/>
        <v>-1.0076866058618088E-2</v>
      </c>
    </row>
  </sheetData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RobotMotion</vt:lpstr>
      <vt:lpstr>機体情報</vt:lpstr>
      <vt:lpstr>上から見たプリン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ZD WANG</dc:creator>
  <cp:lastModifiedBy>YazawaKenichi</cp:lastModifiedBy>
  <dcterms:created xsi:type="dcterms:W3CDTF">2020-06-09T05:25:51Z</dcterms:created>
  <dcterms:modified xsi:type="dcterms:W3CDTF">2021-12-12T01:05:27Z</dcterms:modified>
</cp:coreProperties>
</file>